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60" windowHeight="7905"/>
  </bookViews>
  <sheets>
    <sheet name="Cleaned_data" sheetId="1" r:id="rId1"/>
    <sheet name="Messy_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</calcChain>
</file>

<file path=xl/sharedStrings.xml><?xml version="1.0" encoding="utf-8"?>
<sst xmlns="http://schemas.openxmlformats.org/spreadsheetml/2006/main" count="1242" uniqueCount="260">
  <si>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</si>
  <si>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</si>
  <si>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</si>
  <si>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</si>
  <si>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</si>
  <si>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</si>
  <si>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</si>
  <si>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</si>
  <si>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</si>
  <si>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</si>
  <si>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</si>
  <si>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</si>
  <si>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</si>
  <si>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</si>
  <si>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</si>
  <si>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</si>
  <si>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</si>
  <si>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</si>
  <si>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</si>
  <si>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</si>
  <si>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</si>
  <si>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/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</si>
  <si>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</si>
  <si>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</si>
  <si>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</si>
  <si>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</si>
  <si>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</si>
  <si>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</si>
  <si>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</si>
  <si>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</si>
  <si>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</si>
  <si>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</si>
  <si>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</si>
  <si>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</si>
  <si>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</si>
  <si>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</si>
  <si>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</si>
  <si>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</si>
  <si>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</si>
  <si>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</si>
  <si>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</si>
  <si>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</si>
  <si>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</si>
  <si>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</si>
  <si>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</si>
  <si>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</si>
  <si>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</si>
  <si>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</si>
  <si>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</si>
  <si>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</si>
  <si>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</si>
  <si>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</si>
  <si>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</si>
  <si>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</si>
  <si>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</si>
  <si>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</si>
  <si>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</si>
  <si>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</si>
  <si>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</si>
  <si>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</si>
  <si>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</si>
  <si>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</si>
  <si>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</si>
  <si>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</si>
  <si>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</si>
  <si>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</si>
  <si>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</si>
  <si>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</si>
  <si>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</si>
  <si>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</si>
  <si>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</si>
  <si>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</si>
  <si>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Electronic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</si>
  <si>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</si>
  <si>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</si>
  <si>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</si>
  <si>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</si>
  <si>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</si>
  <si>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</si>
  <si>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</si>
  <si>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</si>
  <si>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</si>
  <si>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</si>
  <si>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</si>
  <si>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</si>
  <si>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</si>
  <si>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</si>
  <si>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</si>
  <si>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</si>
  <si>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</si>
  <si>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</si>
  <si>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</si>
  <si>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</si>
  <si>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</si>
  <si>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</si>
  <si>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</si>
  <si>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</si>
  <si>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</si>
  <si>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</si>
  <si>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</si>
  <si>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</si>
  <si>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</si>
  <si>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</si>
  <si>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</si>
  <si>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</si>
  <si>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</si>
  <si>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</si>
  <si>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</si>
  <si>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</si>
  <si>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</si>
  <si>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</si>
  <si>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</si>
  <si>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</si>
  <si>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</si>
  <si>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</si>
  <si>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</si>
  <si>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</si>
  <si>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</si>
  <si>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</si>
  <si>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</si>
  <si>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</si>
  <si>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</si>
  <si>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</si>
  <si>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</si>
  <si>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</si>
  <si>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</si>
  <si>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</si>
  <si>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</si>
  <si>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</si>
  <si>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</si>
  <si>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</si>
  <si>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</si>
  <si>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</si>
  <si>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</si>
  <si>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</si>
  <si>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</si>
  <si>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</si>
  <si>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</si>
  <si>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</si>
  <si>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</si>
  <si>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</si>
  <si>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</si>
  <si>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</si>
  <si>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</si>
  <si>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</si>
  <si>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</si>
  <si>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</si>
  <si>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</si>
  <si>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</si>
  <si>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</si>
  <si>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</si>
  <si>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</si>
  <si>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</si>
  <si>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</si>
  <si>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</si>
  <si>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</si>
  <si>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</si>
  <si>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</si>
  <si>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</si>
  <si>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</si>
  <si>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</si>
  <si>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</si>
  <si>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</si>
  <si>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</si>
  <si>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</si>
  <si>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</si>
  <si>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</si>
  <si>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</si>
  <si>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</si>
  <si>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</si>
  <si>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</si>
  <si>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</si>
  <si>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</si>
  <si>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</si>
  <si>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</si>
  <si>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</si>
  <si>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</si>
  <si>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</si>
  <si>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</si>
  <si>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</si>
  <si>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</si>
  <si>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</si>
  <si>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</si>
  <si>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</si>
  <si>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</si>
  <si>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</si>
  <si>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</si>
  <si>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</si>
  <si>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</si>
  <si>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</si>
  <si>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</si>
  <si>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</si>
  <si>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</si>
  <si>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</si>
  <si>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</si>
  <si>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</si>
  <si>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</si>
  <si>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</si>
  <si>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</si>
  <si>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</si>
  <si>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</si>
  <si>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</si>
  <si>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</si>
  <si>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</si>
  <si>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</si>
  <si>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</si>
  <si>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</si>
  <si>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</si>
  <si>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</si>
  <si>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</si>
  <si>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</si>
  <si>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</si>
  <si>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</si>
  <si>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</si>
  <si>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</si>
  <si>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</si>
  <si>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</si>
  <si>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</si>
  <si>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</si>
  <si>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</si>
  <si>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</si>
  <si>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</si>
  <si>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</si>
  <si>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</si>
  <si>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</si>
  <si>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</si>
  <si>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</si>
  <si>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</si>
  <si>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</si>
  <si>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</si>
  <si>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</si>
  <si>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Customer_192</t>
  </si>
  <si>
    <t>ORD-35144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</si>
  <si>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</si>
  <si>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</si>
  <si>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</si>
  <si>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</si>
  <si>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</si>
  <si>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</si>
  <si>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</si>
  <si>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</si>
  <si>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</si>
  <si>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</si>
  <si>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</si>
  <si>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</si>
  <si>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</si>
  <si>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</si>
  <si>
    <t>abd</t>
  </si>
  <si>
    <t>sports</t>
  </si>
  <si>
    <t>four hundred</t>
  </si>
  <si>
    <t>Jan 5 2023</t>
  </si>
  <si>
    <t>electronic</t>
  </si>
  <si>
    <t>ELECTRONICS</t>
  </si>
  <si>
    <t>300$</t>
  </si>
  <si>
    <t>electronics</t>
  </si>
  <si>
    <t>nan</t>
  </si>
  <si>
    <t>T-shirt</t>
  </si>
  <si>
    <t>shoes</t>
  </si>
  <si>
    <t>abc</t>
  </si>
  <si>
    <t>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</si>
</sst>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4" fontId="0" fillId="0" borderId="0" xfId="0" applyNumberFormat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K101" totalsRowShown="0" headerRowDxfId="12" dataDxfId="11">
  <autoFilter ref="A1:K101"/>
  <tableColumns count="11">
    <tableColumn id="1" name="ID" dataDxfId="10"/>
    <tableColumn id="2" name=" Customer_Name" dataDxfId="9"/>
    <tableColumn id="3" name="Order_ID" dataDxfId="8"/>
    <tableColumn id="4" name="Order_Date" dataDxfId="7"/>
    <tableColumn id="5" name="Product" dataDxfId="6"/>
    <tableColumn id="6" name=" Category" dataDxfId="5"/>
    <tableColumn id="7" name="Quantity" dataDxfId="4"/>
    <tableColumn id="8" name="Price" dataDxfId="3"/>
    <tableColumn id="9" name="Payment_Method" dataDxfId="2"/>
    <tableColumn id="10" name="Status" dataDxfId="1"/>
    <tableColumn id="12" name="Total" dataDxfId="0">
      <calculatedColumnFormula>Table1[[#This Row],[Quantity]]*Table1[[#This Row],[Price]]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workbookViewId="0">
      <selection activeCell="H73" sqref="H73"/>
    </sheetView>
  </sheetViews>
  <sheetFormatPr defaultRowHeight="15" x14ac:dyDescent="0.25"/>
  <cols>
    <col min="1" max="1" width="5" customWidth="1"/>
    <col min="2" max="2" width="18.42578125" customWidth="1"/>
    <col min="3" max="3" width="11.140625" customWidth="1"/>
    <col min="4" max="4" width="13.42578125" customWidth="1"/>
    <col min="5" max="5" width="13.28515625" bestFit="1" customWidth="1"/>
    <col min="6" max="6" width="11.42578125" customWidth="1"/>
    <col min="7" max="7" width="10.85546875" customWidth="1"/>
    <col min="8" max="8" width="7.7109375" bestFit="1" customWidth="1"/>
    <col min="9" max="9" width="19.140625" customWidth="1"/>
    <col min="10" max="10" width="10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</row>
    <row r="2" spans="1:11" x14ac:dyDescent="0.25">
      <c r="A2" s="2">
        <v>100</v>
      </c>
      <c r="B2" s="1" t="s">
        <v>11</v>
      </c>
      <c r="C2" s="1" t="s">
        <v>12</v>
      </c>
      <c r="D2" s="3">
        <v>45618</v>
      </c>
      <c r="E2" s="1" t="s">
        <v>13</v>
      </c>
      <c r="F2" s="1" t="s">
        <v>14</v>
      </c>
      <c r="G2" s="2">
        <v>3</v>
      </c>
      <c r="H2" s="1">
        <v>38</v>
      </c>
      <c r="I2" s="1" t="s">
        <v>15</v>
      </c>
      <c r="J2" s="1" t="s">
        <v>16</v>
      </c>
      <c r="K2" s="5">
        <f>Table1[[#This Row],[Quantity]]*Table1[[#This Row],[Price]]</f>
        <v>114</v>
      </c>
    </row>
    <row r="3" spans="1:11" x14ac:dyDescent="0.25">
      <c r="A3" s="2">
        <v>101</v>
      </c>
      <c r="B3" s="1" t="s">
        <v>17</v>
      </c>
      <c r="C3" s="1" t="s">
        <v>18</v>
      </c>
      <c r="D3" s="3">
        <v>45843</v>
      </c>
      <c r="E3" s="1" t="s">
        <v>19</v>
      </c>
      <c r="F3" s="1" t="s">
        <v>20</v>
      </c>
      <c r="G3" s="2">
        <v>2</v>
      </c>
      <c r="H3" s="1">
        <v>0</v>
      </c>
      <c r="I3" s="1" t="s">
        <v>22</v>
      </c>
      <c r="J3" s="1" t="s">
        <v>23</v>
      </c>
      <c r="K3" s="5">
        <f>Table1[[#This Row],[Quantity]]*Table1[[#This Row],[Price]]</f>
        <v>0</v>
      </c>
    </row>
    <row r="4" spans="1:11" x14ac:dyDescent="0.25">
      <c r="A4" s="2">
        <v>102</v>
      </c>
      <c r="B4" s="1" t="s">
        <v>24</v>
      </c>
      <c r="C4" s="1" t="s">
        <v>25</v>
      </c>
      <c r="D4" s="3">
        <v>45649</v>
      </c>
      <c r="E4" s="1" t="s">
        <v>26</v>
      </c>
      <c r="F4" s="1" t="s">
        <v>27</v>
      </c>
      <c r="G4" s="2">
        <v>1</v>
      </c>
      <c r="H4" s="1">
        <v>389.05</v>
      </c>
      <c r="I4" s="1" t="s">
        <v>22</v>
      </c>
      <c r="J4" s="1" t="s">
        <v>28</v>
      </c>
      <c r="K4" s="5">
        <f>Table1[[#This Row],[Quantity]]*Table1[[#This Row],[Price]]</f>
        <v>389.05</v>
      </c>
    </row>
    <row r="5" spans="1:11" x14ac:dyDescent="0.25">
      <c r="A5" s="2">
        <v>103</v>
      </c>
      <c r="B5" s="1" t="s">
        <v>29</v>
      </c>
      <c r="C5" s="1" t="s">
        <v>30</v>
      </c>
      <c r="D5" s="3">
        <v>45735</v>
      </c>
      <c r="E5" s="1" t="s">
        <v>31</v>
      </c>
      <c r="F5" s="1" t="s">
        <v>32</v>
      </c>
      <c r="G5" s="2">
        <v>5</v>
      </c>
      <c r="H5" s="1">
        <v>233.92</v>
      </c>
      <c r="I5" s="1" t="s">
        <v>22</v>
      </c>
      <c r="J5" s="1" t="s">
        <v>23</v>
      </c>
      <c r="K5" s="5">
        <f>Table1[[#This Row],[Quantity]]*Table1[[#This Row],[Price]]</f>
        <v>1169.5999999999999</v>
      </c>
    </row>
    <row r="6" spans="1:11" x14ac:dyDescent="0.25">
      <c r="A6" s="2">
        <v>104</v>
      </c>
      <c r="B6" s="1" t="s">
        <v>33</v>
      </c>
      <c r="C6" s="1" t="s">
        <v>34</v>
      </c>
      <c r="D6" s="3">
        <v>45950</v>
      </c>
      <c r="E6" s="1" t="s">
        <v>35</v>
      </c>
      <c r="F6" s="1" t="s">
        <v>32</v>
      </c>
      <c r="G6" s="2">
        <v>1</v>
      </c>
      <c r="H6" s="1">
        <v>552.51</v>
      </c>
      <c r="I6" s="1" t="s">
        <v>15</v>
      </c>
      <c r="J6" s="1" t="s">
        <v>23</v>
      </c>
      <c r="K6" s="5">
        <f>Table1[[#This Row],[Quantity]]*Table1[[#This Row],[Price]]</f>
        <v>552.51</v>
      </c>
    </row>
    <row r="7" spans="1:11" x14ac:dyDescent="0.25">
      <c r="A7" s="2">
        <v>105</v>
      </c>
      <c r="B7" s="1" t="s">
        <v>36</v>
      </c>
      <c r="C7" s="1" t="s">
        <v>37</v>
      </c>
      <c r="D7" s="3">
        <v>45616</v>
      </c>
      <c r="E7" s="1" t="s">
        <v>26</v>
      </c>
      <c r="F7" s="1" t="s">
        <v>27</v>
      </c>
      <c r="G7" s="2">
        <v>3</v>
      </c>
      <c r="H7" s="1">
        <v>122.06</v>
      </c>
      <c r="I7" s="1" t="s">
        <v>15</v>
      </c>
      <c r="J7" s="1" t="s">
        <v>38</v>
      </c>
      <c r="K7" s="5">
        <f>Table1[[#This Row],[Quantity]]*Table1[[#This Row],[Price]]</f>
        <v>366.18</v>
      </c>
    </row>
    <row r="8" spans="1:11" x14ac:dyDescent="0.25">
      <c r="A8" s="2">
        <v>106</v>
      </c>
      <c r="B8" s="1" t="s">
        <v>39</v>
      </c>
      <c r="C8" s="1" t="s">
        <v>40</v>
      </c>
      <c r="D8" s="3">
        <v>45690</v>
      </c>
      <c r="E8" s="1" t="s">
        <v>13</v>
      </c>
      <c r="F8" s="1" t="s">
        <v>14</v>
      </c>
      <c r="G8" s="2">
        <v>0</v>
      </c>
      <c r="H8" s="1">
        <v>978.63</v>
      </c>
      <c r="I8" s="1" t="s">
        <v>41</v>
      </c>
      <c r="J8" s="1" t="s">
        <v>23</v>
      </c>
      <c r="K8" s="5">
        <f>Table1[[#This Row],[Quantity]]*Table1[[#This Row],[Price]]</f>
        <v>0</v>
      </c>
    </row>
    <row r="9" spans="1:11" x14ac:dyDescent="0.25">
      <c r="A9" s="2">
        <v>107</v>
      </c>
      <c r="B9" s="1" t="s">
        <v>42</v>
      </c>
      <c r="C9" s="1" t="s">
        <v>43</v>
      </c>
      <c r="D9" s="3">
        <v>45660</v>
      </c>
      <c r="E9" s="1" t="s">
        <v>35</v>
      </c>
      <c r="F9" s="1" t="s">
        <v>32</v>
      </c>
      <c r="G9" s="2">
        <v>5</v>
      </c>
      <c r="H9" s="1">
        <v>587.67999999999995</v>
      </c>
      <c r="I9" s="1" t="s">
        <v>22</v>
      </c>
      <c r="J9" s="1" t="s">
        <v>44</v>
      </c>
      <c r="K9" s="5">
        <f>Table1[[#This Row],[Quantity]]*Table1[[#This Row],[Price]]</f>
        <v>2938.3999999999996</v>
      </c>
    </row>
    <row r="10" spans="1:11" x14ac:dyDescent="0.25">
      <c r="A10" s="2">
        <v>108</v>
      </c>
      <c r="B10" s="1" t="s">
        <v>45</v>
      </c>
      <c r="C10" s="1" t="s">
        <v>46</v>
      </c>
      <c r="D10" s="3">
        <v>45953</v>
      </c>
      <c r="E10" s="1" t="s">
        <v>31</v>
      </c>
      <c r="F10" s="1" t="s">
        <v>32</v>
      </c>
      <c r="G10" s="2">
        <v>1</v>
      </c>
      <c r="H10" s="1">
        <v>600.29</v>
      </c>
      <c r="I10" s="1" t="s">
        <v>15</v>
      </c>
      <c r="J10" s="1" t="s">
        <v>23</v>
      </c>
      <c r="K10" s="5">
        <f>Table1[[#This Row],[Quantity]]*Table1[[#This Row],[Price]]</f>
        <v>600.29</v>
      </c>
    </row>
    <row r="11" spans="1:11" x14ac:dyDescent="0.25">
      <c r="A11" s="2">
        <v>109</v>
      </c>
      <c r="B11" s="1" t="s">
        <v>47</v>
      </c>
      <c r="C11" s="1" t="s">
        <v>48</v>
      </c>
      <c r="D11" s="3">
        <v>45780</v>
      </c>
      <c r="E11" s="1" t="s">
        <v>26</v>
      </c>
      <c r="F11" s="1" t="s">
        <v>27</v>
      </c>
      <c r="G11" s="2">
        <v>5</v>
      </c>
      <c r="H11" s="1">
        <v>168.34</v>
      </c>
      <c r="I11" s="1" t="s">
        <v>49</v>
      </c>
      <c r="J11" s="1" t="s">
        <v>16</v>
      </c>
      <c r="K11" s="5">
        <f>Table1[[#This Row],[Quantity]]*Table1[[#This Row],[Price]]</f>
        <v>841.7</v>
      </c>
    </row>
    <row r="12" spans="1:11" x14ac:dyDescent="0.25">
      <c r="A12" s="2">
        <v>110</v>
      </c>
      <c r="B12" s="1" t="s">
        <v>50</v>
      </c>
      <c r="C12" s="1" t="s">
        <v>51</v>
      </c>
      <c r="D12" s="3">
        <v>45926</v>
      </c>
      <c r="E12" s="1" t="s">
        <v>52</v>
      </c>
      <c r="F12" s="1" t="s">
        <v>27</v>
      </c>
      <c r="G12" s="2">
        <v>5</v>
      </c>
      <c r="H12" s="1">
        <v>0</v>
      </c>
      <c r="I12" s="1" t="s">
        <v>15</v>
      </c>
      <c r="J12" s="1" t="s">
        <v>38</v>
      </c>
      <c r="K12" s="5">
        <f>Table1[[#This Row],[Quantity]]*Table1[[#This Row],[Price]]</f>
        <v>0</v>
      </c>
    </row>
    <row r="13" spans="1:11" x14ac:dyDescent="0.25">
      <c r="A13" s="2">
        <v>111</v>
      </c>
      <c r="B13" s="1" t="s">
        <v>53</v>
      </c>
      <c r="C13" s="1" t="s">
        <v>54</v>
      </c>
      <c r="D13" s="3">
        <v>45952</v>
      </c>
      <c r="E13" s="1" t="s">
        <v>55</v>
      </c>
      <c r="F13" s="1" t="s">
        <v>32</v>
      </c>
      <c r="G13" s="2">
        <v>2</v>
      </c>
      <c r="H13" s="1">
        <v>865.77</v>
      </c>
      <c r="I13" s="1" t="s">
        <v>49</v>
      </c>
      <c r="J13" s="1" t="s">
        <v>44</v>
      </c>
      <c r="K13" s="5">
        <f>Table1[[#This Row],[Quantity]]*Table1[[#This Row],[Price]]</f>
        <v>1731.54</v>
      </c>
    </row>
    <row r="14" spans="1:11" x14ac:dyDescent="0.25">
      <c r="A14" s="2">
        <v>112</v>
      </c>
      <c r="B14" s="1" t="s">
        <v>56</v>
      </c>
      <c r="C14" s="1" t="s">
        <v>57</v>
      </c>
      <c r="D14" s="3">
        <v>45718</v>
      </c>
      <c r="E14" s="1" t="s">
        <v>58</v>
      </c>
      <c r="F14" s="1" t="s">
        <v>59</v>
      </c>
      <c r="G14" s="2">
        <v>4</v>
      </c>
      <c r="H14" s="1">
        <v>752.13</v>
      </c>
      <c r="I14" s="1" t="s">
        <v>41</v>
      </c>
      <c r="J14" s="1" t="s">
        <v>28</v>
      </c>
      <c r="K14" s="5">
        <f>Table1[[#This Row],[Quantity]]*Table1[[#This Row],[Price]]</f>
        <v>3008.52</v>
      </c>
    </row>
    <row r="15" spans="1:11" x14ac:dyDescent="0.25">
      <c r="A15" s="2">
        <v>113</v>
      </c>
      <c r="B15" s="1" t="s">
        <v>60</v>
      </c>
      <c r="C15" s="1" t="s">
        <v>61</v>
      </c>
      <c r="D15" s="3">
        <v>45862</v>
      </c>
      <c r="E15" s="1" t="s">
        <v>62</v>
      </c>
      <c r="F15" s="1" t="s">
        <v>32</v>
      </c>
      <c r="G15" s="2">
        <v>1</v>
      </c>
      <c r="H15" s="1">
        <v>411.81</v>
      </c>
      <c r="I15" s="1" t="s">
        <v>49</v>
      </c>
      <c r="J15" s="1" t="s">
        <v>23</v>
      </c>
      <c r="K15" s="5">
        <f>Table1[[#This Row],[Quantity]]*Table1[[#This Row],[Price]]</f>
        <v>411.81</v>
      </c>
    </row>
    <row r="16" spans="1:11" x14ac:dyDescent="0.25">
      <c r="A16" s="2">
        <v>114</v>
      </c>
      <c r="B16" s="1" t="s">
        <v>63</v>
      </c>
      <c r="C16" s="1" t="s">
        <v>64</v>
      </c>
      <c r="D16" s="3">
        <v>44931</v>
      </c>
      <c r="E16" s="1" t="s">
        <v>19</v>
      </c>
      <c r="F16" s="1" t="s">
        <v>20</v>
      </c>
      <c r="G16" s="2">
        <v>2</v>
      </c>
      <c r="H16" s="1">
        <v>413.13</v>
      </c>
      <c r="I16" s="1" t="s">
        <v>15</v>
      </c>
      <c r="J16" s="1" t="s">
        <v>16</v>
      </c>
      <c r="K16" s="5">
        <f>Table1[[#This Row],[Quantity]]*Table1[[#This Row],[Price]]</f>
        <v>826.26</v>
      </c>
    </row>
    <row r="17" spans="1:11" x14ac:dyDescent="0.25">
      <c r="A17" s="2">
        <v>115</v>
      </c>
      <c r="B17" s="1" t="s">
        <v>65</v>
      </c>
      <c r="C17" s="1" t="s">
        <v>66</v>
      </c>
      <c r="D17" s="3">
        <v>45667</v>
      </c>
      <c r="E17" s="1" t="s">
        <v>62</v>
      </c>
      <c r="F17" s="1" t="s">
        <v>32</v>
      </c>
      <c r="G17" s="2">
        <v>2</v>
      </c>
      <c r="H17" s="1">
        <v>796.84</v>
      </c>
      <c r="I17" s="1" t="s">
        <v>15</v>
      </c>
      <c r="J17" s="1" t="s">
        <v>44</v>
      </c>
      <c r="K17" s="5">
        <f>Table1[[#This Row],[Quantity]]*Table1[[#This Row],[Price]]</f>
        <v>1593.68</v>
      </c>
    </row>
    <row r="18" spans="1:11" x14ac:dyDescent="0.25">
      <c r="A18" s="2">
        <v>116</v>
      </c>
      <c r="B18" s="1" t="s">
        <v>67</v>
      </c>
      <c r="C18" s="1" t="s">
        <v>68</v>
      </c>
      <c r="D18" s="3">
        <v>45960</v>
      </c>
      <c r="E18" s="1" t="s">
        <v>69</v>
      </c>
      <c r="F18" s="1" t="s">
        <v>14</v>
      </c>
      <c r="G18" s="2">
        <v>4</v>
      </c>
      <c r="H18" s="1">
        <v>0</v>
      </c>
      <c r="I18" s="1" t="s">
        <v>15</v>
      </c>
      <c r="J18" s="1" t="s">
        <v>23</v>
      </c>
      <c r="K18" s="5">
        <f>Table1[[#This Row],[Quantity]]*Table1[[#This Row],[Price]]</f>
        <v>0</v>
      </c>
    </row>
    <row r="19" spans="1:11" x14ac:dyDescent="0.25">
      <c r="A19" s="2">
        <v>117</v>
      </c>
      <c r="B19" s="1" t="s">
        <v>70</v>
      </c>
      <c r="C19" s="1" t="s">
        <v>71</v>
      </c>
      <c r="D19" s="3">
        <v>45700</v>
      </c>
      <c r="E19" s="1" t="s">
        <v>13</v>
      </c>
      <c r="F19" s="1" t="s">
        <v>72</v>
      </c>
      <c r="G19" s="2">
        <v>2</v>
      </c>
      <c r="H19" s="1">
        <v>10000</v>
      </c>
      <c r="I19" s="1" t="s">
        <v>15</v>
      </c>
      <c r="J19" s="1" t="s">
        <v>23</v>
      </c>
      <c r="K19" s="5">
        <f>Table1[[#This Row],[Quantity]]*Table1[[#This Row],[Price]]</f>
        <v>20000</v>
      </c>
    </row>
    <row r="20" spans="1:11" x14ac:dyDescent="0.25">
      <c r="A20" s="2">
        <v>118</v>
      </c>
      <c r="B20" s="1" t="s">
        <v>73</v>
      </c>
      <c r="C20" s="1" t="s">
        <v>74</v>
      </c>
      <c r="D20" s="3">
        <v>45808</v>
      </c>
      <c r="E20" s="1" t="s">
        <v>31</v>
      </c>
      <c r="F20" s="1" t="s">
        <v>32</v>
      </c>
      <c r="G20" s="2">
        <v>5</v>
      </c>
      <c r="H20" s="1">
        <v>247.82</v>
      </c>
      <c r="I20" s="1" t="s">
        <v>22</v>
      </c>
      <c r="J20" s="1" t="s">
        <v>23</v>
      </c>
      <c r="K20" s="5">
        <f>Table1[[#This Row],[Quantity]]*Table1[[#This Row],[Price]]</f>
        <v>1239.0999999999999</v>
      </c>
    </row>
    <row r="21" spans="1:11" x14ac:dyDescent="0.25">
      <c r="A21" s="2">
        <v>119</v>
      </c>
      <c r="B21" s="1" t="s">
        <v>75</v>
      </c>
      <c r="C21" s="1" t="s">
        <v>76</v>
      </c>
      <c r="D21" s="3">
        <v>45645</v>
      </c>
      <c r="E21" s="1" t="s">
        <v>52</v>
      </c>
      <c r="F21" s="1" t="s">
        <v>27</v>
      </c>
      <c r="G21" s="2">
        <v>4</v>
      </c>
      <c r="H21" s="1">
        <v>438.19</v>
      </c>
      <c r="I21" s="1" t="s">
        <v>15</v>
      </c>
      <c r="J21" s="1" t="s">
        <v>23</v>
      </c>
      <c r="K21" s="5">
        <f>Table1[[#This Row],[Quantity]]*Table1[[#This Row],[Price]]</f>
        <v>1752.76</v>
      </c>
    </row>
    <row r="22" spans="1:11" x14ac:dyDescent="0.25">
      <c r="A22" s="2">
        <v>120</v>
      </c>
      <c r="B22" s="1" t="s">
        <v>77</v>
      </c>
      <c r="C22" s="1" t="s">
        <v>78</v>
      </c>
      <c r="D22" s="3">
        <v>45821</v>
      </c>
      <c r="E22" s="1" t="s">
        <v>79</v>
      </c>
      <c r="F22" s="1" t="s">
        <v>20</v>
      </c>
      <c r="G22" s="2">
        <v>5</v>
      </c>
      <c r="H22" s="1">
        <v>300</v>
      </c>
      <c r="I22" s="1" t="s">
        <v>49</v>
      </c>
      <c r="J22" s="1" t="s">
        <v>38</v>
      </c>
      <c r="K22" s="5">
        <f>Table1[[#This Row],[Quantity]]*Table1[[#This Row],[Price]]</f>
        <v>1500</v>
      </c>
    </row>
    <row r="23" spans="1:11" x14ac:dyDescent="0.25">
      <c r="A23" s="2">
        <v>121</v>
      </c>
      <c r="B23" s="1" t="s">
        <v>80</v>
      </c>
      <c r="C23" s="1" t="s">
        <v>81</v>
      </c>
      <c r="D23" s="3">
        <v>45941</v>
      </c>
      <c r="E23" s="1" t="s">
        <v>52</v>
      </c>
      <c r="F23" s="1" t="s">
        <v>27</v>
      </c>
      <c r="G23" s="2">
        <v>4</v>
      </c>
      <c r="H23" s="1">
        <v>523.01</v>
      </c>
      <c r="I23" s="1" t="s">
        <v>49</v>
      </c>
      <c r="J23" s="1" t="s">
        <v>28</v>
      </c>
      <c r="K23" s="5">
        <f>Table1[[#This Row],[Quantity]]*Table1[[#This Row],[Price]]</f>
        <v>2092.04</v>
      </c>
    </row>
    <row r="24" spans="1:11" x14ac:dyDescent="0.25">
      <c r="A24" s="2">
        <v>122</v>
      </c>
      <c r="B24" s="1" t="s">
        <v>82</v>
      </c>
      <c r="C24" s="1" t="s">
        <v>83</v>
      </c>
      <c r="D24" s="3">
        <v>45793</v>
      </c>
      <c r="E24" s="1" t="s">
        <v>69</v>
      </c>
      <c r="F24" s="1" t="s">
        <v>14</v>
      </c>
      <c r="G24" s="2">
        <v>2</v>
      </c>
      <c r="H24" s="1">
        <v>556.92999999999995</v>
      </c>
      <c r="I24" s="1" t="s">
        <v>22</v>
      </c>
      <c r="J24" s="1" t="s">
        <v>16</v>
      </c>
      <c r="K24" s="5">
        <f>Table1[[#This Row],[Quantity]]*Table1[[#This Row],[Price]]</f>
        <v>1113.8599999999999</v>
      </c>
    </row>
    <row r="25" spans="1:11" x14ac:dyDescent="0.25">
      <c r="A25" s="2">
        <v>123</v>
      </c>
      <c r="B25" s="1" t="s">
        <v>84</v>
      </c>
      <c r="C25" s="1" t="s">
        <v>85</v>
      </c>
      <c r="D25" s="3">
        <v>45936</v>
      </c>
      <c r="E25" s="1" t="s">
        <v>86</v>
      </c>
      <c r="F25" s="1" t="s">
        <v>72</v>
      </c>
      <c r="G25" s="2">
        <v>3</v>
      </c>
      <c r="H25" s="1">
        <v>615.91</v>
      </c>
      <c r="I25" s="1" t="s">
        <v>15</v>
      </c>
      <c r="J25" s="1" t="s">
        <v>38</v>
      </c>
      <c r="K25" s="5">
        <f>Table1[[#This Row],[Quantity]]*Table1[[#This Row],[Price]]</f>
        <v>1847.73</v>
      </c>
    </row>
    <row r="26" spans="1:11" x14ac:dyDescent="0.25">
      <c r="A26" s="2">
        <v>124</v>
      </c>
      <c r="B26" s="1" t="s">
        <v>87</v>
      </c>
      <c r="C26" s="1" t="s">
        <v>88</v>
      </c>
      <c r="D26" s="3">
        <v>45808</v>
      </c>
      <c r="E26" s="1" t="s">
        <v>55</v>
      </c>
      <c r="F26" s="1" t="s">
        <v>32</v>
      </c>
      <c r="G26" s="2">
        <v>5</v>
      </c>
      <c r="H26" s="1">
        <v>0</v>
      </c>
      <c r="I26" s="1" t="s">
        <v>22</v>
      </c>
      <c r="J26" s="1" t="s">
        <v>38</v>
      </c>
      <c r="K26" s="5">
        <f>Table1[[#This Row],[Quantity]]*Table1[[#This Row],[Price]]</f>
        <v>0</v>
      </c>
    </row>
    <row r="27" spans="1:11" x14ac:dyDescent="0.25">
      <c r="A27" s="2">
        <v>125</v>
      </c>
      <c r="B27" s="1" t="s">
        <v>89</v>
      </c>
      <c r="C27" s="1" t="s">
        <v>90</v>
      </c>
      <c r="D27" s="3">
        <v>45697</v>
      </c>
      <c r="E27" s="1" t="s">
        <v>55</v>
      </c>
      <c r="F27" s="1" t="s">
        <v>32</v>
      </c>
      <c r="G27" s="2">
        <v>4</v>
      </c>
      <c r="H27" s="1">
        <v>765.69</v>
      </c>
      <c r="I27" s="1" t="s">
        <v>22</v>
      </c>
      <c r="J27" s="1" t="s">
        <v>16</v>
      </c>
      <c r="K27" s="5">
        <f>Table1[[#This Row],[Quantity]]*Table1[[#This Row],[Price]]</f>
        <v>3062.76</v>
      </c>
    </row>
    <row r="28" spans="1:11" x14ac:dyDescent="0.25">
      <c r="A28" s="2">
        <v>126</v>
      </c>
      <c r="B28" s="1" t="s">
        <v>91</v>
      </c>
      <c r="C28" s="1" t="s">
        <v>92</v>
      </c>
      <c r="D28" s="3">
        <v>45795</v>
      </c>
      <c r="E28" s="1" t="s">
        <v>58</v>
      </c>
      <c r="F28" s="1" t="s">
        <v>59</v>
      </c>
      <c r="G28" s="2">
        <v>4</v>
      </c>
      <c r="H28" s="1">
        <v>836.8</v>
      </c>
      <c r="I28" s="1" t="s">
        <v>41</v>
      </c>
      <c r="J28" s="1" t="s">
        <v>38</v>
      </c>
      <c r="K28" s="5">
        <f>Table1[[#This Row],[Quantity]]*Table1[[#This Row],[Price]]</f>
        <v>3347.2</v>
      </c>
    </row>
    <row r="29" spans="1:11" x14ac:dyDescent="0.25">
      <c r="A29" s="2">
        <v>127</v>
      </c>
      <c r="B29" s="1" t="s">
        <v>93</v>
      </c>
      <c r="C29" s="1" t="s">
        <v>94</v>
      </c>
      <c r="D29" s="3">
        <v>45789</v>
      </c>
      <c r="E29" s="1" t="s">
        <v>13</v>
      </c>
      <c r="F29" s="1" t="s">
        <v>14</v>
      </c>
      <c r="G29" s="2">
        <v>5</v>
      </c>
      <c r="H29" s="1">
        <v>336.02</v>
      </c>
      <c r="I29" s="1" t="s">
        <v>41</v>
      </c>
      <c r="J29" s="1" t="s">
        <v>44</v>
      </c>
      <c r="K29" s="5">
        <f>Table1[[#This Row],[Quantity]]*Table1[[#This Row],[Price]]</f>
        <v>1680.1</v>
      </c>
    </row>
    <row r="30" spans="1:11" x14ac:dyDescent="0.25">
      <c r="A30" s="2">
        <v>128</v>
      </c>
      <c r="B30" s="1" t="s">
        <v>95</v>
      </c>
      <c r="C30" s="1" t="s">
        <v>96</v>
      </c>
      <c r="D30" s="3">
        <v>45606</v>
      </c>
      <c r="E30" s="1" t="s">
        <v>97</v>
      </c>
      <c r="F30" s="1" t="s">
        <v>20</v>
      </c>
      <c r="G30" s="2">
        <v>3</v>
      </c>
      <c r="H30" s="1">
        <v>898.69</v>
      </c>
      <c r="I30" s="1" t="s">
        <v>41</v>
      </c>
      <c r="J30" s="1" t="s">
        <v>28</v>
      </c>
      <c r="K30" s="5">
        <f>Table1[[#This Row],[Quantity]]*Table1[[#This Row],[Price]]</f>
        <v>2696.07</v>
      </c>
    </row>
    <row r="31" spans="1:11" x14ac:dyDescent="0.25">
      <c r="A31" s="2">
        <v>129</v>
      </c>
      <c r="B31" s="1" t="s">
        <v>98</v>
      </c>
      <c r="C31" s="1" t="s">
        <v>99</v>
      </c>
      <c r="D31" s="3">
        <v>45830</v>
      </c>
      <c r="E31" s="1" t="s">
        <v>31</v>
      </c>
      <c r="F31" s="1" t="s">
        <v>32</v>
      </c>
      <c r="G31" s="2">
        <v>4</v>
      </c>
      <c r="H31" s="1">
        <v>736.71</v>
      </c>
      <c r="I31" s="1" t="s">
        <v>41</v>
      </c>
      <c r="J31" s="1" t="s">
        <v>44</v>
      </c>
      <c r="K31" s="5">
        <f>Table1[[#This Row],[Quantity]]*Table1[[#This Row],[Price]]</f>
        <v>2946.84</v>
      </c>
    </row>
    <row r="32" spans="1:11" x14ac:dyDescent="0.25">
      <c r="A32" s="2">
        <v>130</v>
      </c>
      <c r="B32" s="1" t="s">
        <v>100</v>
      </c>
      <c r="C32" s="1" t="s">
        <v>101</v>
      </c>
      <c r="D32" s="3">
        <v>45884</v>
      </c>
      <c r="E32" s="1" t="s">
        <v>26</v>
      </c>
      <c r="F32" s="1" t="s">
        <v>27</v>
      </c>
      <c r="G32" s="2">
        <v>2</v>
      </c>
      <c r="H32" s="1">
        <v>0</v>
      </c>
      <c r="I32" s="1" t="s">
        <v>41</v>
      </c>
      <c r="J32" s="1" t="s">
        <v>23</v>
      </c>
      <c r="K32" s="5">
        <f>Table1[[#This Row],[Quantity]]*Table1[[#This Row],[Price]]</f>
        <v>0</v>
      </c>
    </row>
    <row r="33" spans="1:11" x14ac:dyDescent="0.25">
      <c r="A33" s="2">
        <v>131</v>
      </c>
      <c r="B33" s="1" t="s">
        <v>102</v>
      </c>
      <c r="C33" s="1" t="s">
        <v>103</v>
      </c>
      <c r="D33" s="3">
        <v>45819</v>
      </c>
      <c r="E33" s="1" t="s">
        <v>97</v>
      </c>
      <c r="F33" s="1" t="s">
        <v>14</v>
      </c>
      <c r="G33" s="2">
        <v>5</v>
      </c>
      <c r="H33" s="1">
        <v>616.63</v>
      </c>
      <c r="I33" s="1" t="s">
        <v>22</v>
      </c>
      <c r="J33" s="1" t="s">
        <v>16</v>
      </c>
      <c r="K33" s="5">
        <f>Table1[[#This Row],[Quantity]]*Table1[[#This Row],[Price]]</f>
        <v>3083.15</v>
      </c>
    </row>
    <row r="34" spans="1:11" x14ac:dyDescent="0.25">
      <c r="A34" s="2">
        <v>132</v>
      </c>
      <c r="B34" s="1" t="s">
        <v>104</v>
      </c>
      <c r="C34" s="1" t="s">
        <v>105</v>
      </c>
      <c r="D34" s="3">
        <v>45749</v>
      </c>
      <c r="E34" s="1" t="s">
        <v>79</v>
      </c>
      <c r="F34" s="1" t="s">
        <v>20</v>
      </c>
      <c r="G34" s="2">
        <v>1</v>
      </c>
      <c r="H34" s="1">
        <v>266.7</v>
      </c>
      <c r="I34" s="1" t="s">
        <v>22</v>
      </c>
      <c r="J34" s="1" t="s">
        <v>28</v>
      </c>
      <c r="K34" s="5">
        <f>Table1[[#This Row],[Quantity]]*Table1[[#This Row],[Price]]</f>
        <v>266.7</v>
      </c>
    </row>
    <row r="35" spans="1:11" x14ac:dyDescent="0.25">
      <c r="A35" s="2">
        <v>133</v>
      </c>
      <c r="B35" s="1" t="s">
        <v>106</v>
      </c>
      <c r="C35" s="1" t="s">
        <v>107</v>
      </c>
      <c r="D35" s="3">
        <v>45631</v>
      </c>
      <c r="E35" s="1" t="s">
        <v>35</v>
      </c>
      <c r="F35" s="1" t="s">
        <v>32</v>
      </c>
      <c r="G35" s="2">
        <v>5</v>
      </c>
      <c r="H35" s="1">
        <v>343.24</v>
      </c>
      <c r="I35" s="1" t="s">
        <v>49</v>
      </c>
      <c r="J35" s="1" t="s">
        <v>16</v>
      </c>
      <c r="K35" s="5">
        <f>Table1[[#This Row],[Quantity]]*Table1[[#This Row],[Price]]</f>
        <v>1716.2</v>
      </c>
    </row>
    <row r="36" spans="1:11" x14ac:dyDescent="0.25">
      <c r="A36" s="2">
        <v>134</v>
      </c>
      <c r="B36" s="1" t="s">
        <v>108</v>
      </c>
      <c r="C36" s="1" t="s">
        <v>109</v>
      </c>
      <c r="D36" s="3">
        <v>45934</v>
      </c>
      <c r="E36" s="1" t="s">
        <v>110</v>
      </c>
      <c r="F36" s="1" t="s">
        <v>59</v>
      </c>
      <c r="G36" s="2">
        <v>5</v>
      </c>
      <c r="H36" s="1">
        <v>591.53</v>
      </c>
      <c r="I36" s="1" t="s">
        <v>22</v>
      </c>
      <c r="J36" s="1" t="s">
        <v>16</v>
      </c>
      <c r="K36" s="5">
        <f>Table1[[#This Row],[Quantity]]*Table1[[#This Row],[Price]]</f>
        <v>2957.6499999999996</v>
      </c>
    </row>
    <row r="37" spans="1:11" x14ac:dyDescent="0.25">
      <c r="A37" s="2">
        <v>135</v>
      </c>
      <c r="B37" s="1" t="s">
        <v>111</v>
      </c>
      <c r="C37" s="1" t="s">
        <v>112</v>
      </c>
      <c r="D37" s="3">
        <v>45697</v>
      </c>
      <c r="E37" s="1" t="s">
        <v>113</v>
      </c>
      <c r="F37" s="1" t="s">
        <v>20</v>
      </c>
      <c r="G37" s="2">
        <v>4</v>
      </c>
      <c r="H37" s="1">
        <v>446.19</v>
      </c>
      <c r="I37" s="1" t="s">
        <v>15</v>
      </c>
      <c r="J37" s="1" t="s">
        <v>38</v>
      </c>
      <c r="K37" s="5">
        <f>Table1[[#This Row],[Quantity]]*Table1[[#This Row],[Price]]</f>
        <v>1784.76</v>
      </c>
    </row>
    <row r="38" spans="1:11" x14ac:dyDescent="0.25">
      <c r="A38" s="2">
        <v>136</v>
      </c>
      <c r="B38" s="1" t="s">
        <v>114</v>
      </c>
      <c r="C38" s="1" t="s">
        <v>115</v>
      </c>
      <c r="D38" s="3">
        <v>45820</v>
      </c>
      <c r="E38" s="1" t="s">
        <v>116</v>
      </c>
      <c r="F38" s="1" t="s">
        <v>20</v>
      </c>
      <c r="G38" s="2">
        <v>1</v>
      </c>
      <c r="H38" s="1">
        <v>696.71</v>
      </c>
      <c r="I38" s="1" t="s">
        <v>49</v>
      </c>
      <c r="J38" s="1" t="s">
        <v>28</v>
      </c>
      <c r="K38" s="5">
        <f>Table1[[#This Row],[Quantity]]*Table1[[#This Row],[Price]]</f>
        <v>696.71</v>
      </c>
    </row>
    <row r="39" spans="1:11" x14ac:dyDescent="0.25">
      <c r="A39" s="2">
        <v>137</v>
      </c>
      <c r="B39" s="1" t="s">
        <v>117</v>
      </c>
      <c r="C39" s="1" t="s">
        <v>118</v>
      </c>
      <c r="D39" s="3">
        <v>45711</v>
      </c>
      <c r="E39" s="1" t="s">
        <v>86</v>
      </c>
      <c r="F39" s="1" t="s">
        <v>14</v>
      </c>
      <c r="G39" s="2">
        <v>3</v>
      </c>
      <c r="H39" s="1">
        <v>100</v>
      </c>
      <c r="I39" s="1" t="s">
        <v>15</v>
      </c>
      <c r="J39" s="1" t="s">
        <v>28</v>
      </c>
      <c r="K39" s="5">
        <f>Table1[[#This Row],[Quantity]]*Table1[[#This Row],[Price]]</f>
        <v>300</v>
      </c>
    </row>
    <row r="40" spans="1:11" x14ac:dyDescent="0.25">
      <c r="A40" s="2">
        <v>138</v>
      </c>
      <c r="B40" s="1" t="s">
        <v>119</v>
      </c>
      <c r="C40" s="1" t="s">
        <v>120</v>
      </c>
      <c r="D40" s="3">
        <v>45878</v>
      </c>
      <c r="E40" s="1" t="s">
        <v>97</v>
      </c>
      <c r="F40" s="1" t="s">
        <v>14</v>
      </c>
      <c r="G40" s="2">
        <v>1</v>
      </c>
      <c r="H40" s="1">
        <v>531.05999999999995</v>
      </c>
      <c r="I40" s="1" t="s">
        <v>22</v>
      </c>
      <c r="J40" s="1" t="s">
        <v>23</v>
      </c>
      <c r="K40" s="5">
        <f>Table1[[#This Row],[Quantity]]*Table1[[#This Row],[Price]]</f>
        <v>531.05999999999995</v>
      </c>
    </row>
    <row r="41" spans="1:11" x14ac:dyDescent="0.25">
      <c r="A41" s="2">
        <v>139</v>
      </c>
      <c r="B41" s="1" t="s">
        <v>121</v>
      </c>
      <c r="C41" s="1" t="s">
        <v>122</v>
      </c>
      <c r="D41" s="3">
        <v>45697</v>
      </c>
      <c r="E41" s="1" t="s">
        <v>19</v>
      </c>
      <c r="F41" s="1" t="s">
        <v>20</v>
      </c>
      <c r="G41" s="2">
        <v>2</v>
      </c>
      <c r="H41" s="1">
        <v>681.38</v>
      </c>
      <c r="I41" s="1" t="s">
        <v>49</v>
      </c>
      <c r="J41" s="1" t="s">
        <v>38</v>
      </c>
      <c r="K41" s="5">
        <f>Table1[[#This Row],[Quantity]]*Table1[[#This Row],[Price]]</f>
        <v>1362.76</v>
      </c>
    </row>
    <row r="42" spans="1:11" x14ac:dyDescent="0.25">
      <c r="A42" s="2">
        <v>140</v>
      </c>
      <c r="B42" s="1" t="s">
        <v>123</v>
      </c>
      <c r="C42" s="1" t="s">
        <v>124</v>
      </c>
      <c r="D42" s="3">
        <v>45714</v>
      </c>
      <c r="E42" s="1" t="s">
        <v>62</v>
      </c>
      <c r="F42" s="1" t="s">
        <v>32</v>
      </c>
      <c r="G42" s="2">
        <v>4</v>
      </c>
      <c r="H42" s="1">
        <v>588.98</v>
      </c>
      <c r="I42" s="1" t="s">
        <v>49</v>
      </c>
      <c r="J42" s="1" t="s">
        <v>44</v>
      </c>
      <c r="K42" s="5">
        <f>Table1[[#This Row],[Quantity]]*Table1[[#This Row],[Price]]</f>
        <v>2355.92</v>
      </c>
    </row>
    <row r="43" spans="1:11" x14ac:dyDescent="0.25">
      <c r="A43" s="2">
        <v>141</v>
      </c>
      <c r="B43" s="1" t="s">
        <v>125</v>
      </c>
      <c r="C43" s="1" t="s">
        <v>126</v>
      </c>
      <c r="D43" s="3">
        <v>45701</v>
      </c>
      <c r="E43" s="1" t="s">
        <v>62</v>
      </c>
      <c r="F43" s="1" t="s">
        <v>32</v>
      </c>
      <c r="G43" s="2">
        <v>3</v>
      </c>
      <c r="H43" s="1">
        <v>546.04</v>
      </c>
      <c r="I43" s="1" t="s">
        <v>15</v>
      </c>
      <c r="J43" s="1" t="s">
        <v>44</v>
      </c>
      <c r="K43" s="5">
        <f>Table1[[#This Row],[Quantity]]*Table1[[#This Row],[Price]]</f>
        <v>1638.12</v>
      </c>
    </row>
    <row r="44" spans="1:11" x14ac:dyDescent="0.25">
      <c r="A44" s="2">
        <v>142</v>
      </c>
      <c r="B44" s="1" t="s">
        <v>127</v>
      </c>
      <c r="C44" s="1" t="s">
        <v>128</v>
      </c>
      <c r="D44" s="3">
        <v>45960</v>
      </c>
      <c r="E44" s="1" t="s">
        <v>58</v>
      </c>
      <c r="F44" s="1" t="s">
        <v>59</v>
      </c>
      <c r="G44" s="2">
        <v>5</v>
      </c>
      <c r="H44" s="1">
        <v>645.26</v>
      </c>
      <c r="I44" s="1" t="s">
        <v>49</v>
      </c>
      <c r="J44" s="1" t="s">
        <v>16</v>
      </c>
      <c r="K44" s="5">
        <f>Table1[[#This Row],[Quantity]]*Table1[[#This Row],[Price]]</f>
        <v>3226.3</v>
      </c>
    </row>
    <row r="45" spans="1:11" x14ac:dyDescent="0.25">
      <c r="A45" s="2">
        <v>143</v>
      </c>
      <c r="B45" s="1" t="s">
        <v>129</v>
      </c>
      <c r="C45" s="1" t="s">
        <v>130</v>
      </c>
      <c r="D45" s="3">
        <v>45849</v>
      </c>
      <c r="E45" s="1" t="s">
        <v>110</v>
      </c>
      <c r="F45" s="1" t="s">
        <v>59</v>
      </c>
      <c r="G45" s="2">
        <v>5</v>
      </c>
      <c r="H45" s="1">
        <v>826.77</v>
      </c>
      <c r="I45" s="1" t="s">
        <v>41</v>
      </c>
      <c r="J45" s="1" t="s">
        <v>38</v>
      </c>
      <c r="K45" s="5">
        <f>Table1[[#This Row],[Quantity]]*Table1[[#This Row],[Price]]</f>
        <v>4133.8500000000004</v>
      </c>
    </row>
    <row r="46" spans="1:11" x14ac:dyDescent="0.25">
      <c r="A46" s="2">
        <v>144</v>
      </c>
      <c r="B46" s="1" t="s">
        <v>131</v>
      </c>
      <c r="C46" s="1" t="s">
        <v>132</v>
      </c>
      <c r="D46" s="3">
        <v>45684</v>
      </c>
      <c r="E46" s="1" t="s">
        <v>133</v>
      </c>
      <c r="F46" s="1" t="s">
        <v>27</v>
      </c>
      <c r="G46" s="2">
        <v>5</v>
      </c>
      <c r="H46" s="1">
        <v>849.07</v>
      </c>
      <c r="I46" s="1" t="s">
        <v>41</v>
      </c>
      <c r="J46" s="1" t="s">
        <v>23</v>
      </c>
      <c r="K46" s="5">
        <f>Table1[[#This Row],[Quantity]]*Table1[[#This Row],[Price]]</f>
        <v>4245.3500000000004</v>
      </c>
    </row>
    <row r="47" spans="1:11" x14ac:dyDescent="0.25">
      <c r="A47" s="2">
        <v>145</v>
      </c>
      <c r="B47" s="1" t="s">
        <v>134</v>
      </c>
      <c r="C47" s="1" t="s">
        <v>135</v>
      </c>
      <c r="D47" s="3">
        <v>45047</v>
      </c>
      <c r="E47" s="1" t="s">
        <v>136</v>
      </c>
      <c r="F47" s="1" t="s">
        <v>20</v>
      </c>
      <c r="G47" s="2">
        <v>2</v>
      </c>
      <c r="H47" s="1">
        <v>860.99</v>
      </c>
      <c r="I47" s="1" t="s">
        <v>41</v>
      </c>
      <c r="J47" s="1" t="s">
        <v>44</v>
      </c>
      <c r="K47" s="5">
        <f>Table1[[#This Row],[Quantity]]*Table1[[#This Row],[Price]]</f>
        <v>1721.98</v>
      </c>
    </row>
    <row r="48" spans="1:11" x14ac:dyDescent="0.25">
      <c r="A48" s="2">
        <v>146</v>
      </c>
      <c r="B48" s="1" t="s">
        <v>137</v>
      </c>
      <c r="C48" s="1" t="s">
        <v>138</v>
      </c>
      <c r="D48" s="3">
        <v>45847</v>
      </c>
      <c r="E48" s="1" t="s">
        <v>52</v>
      </c>
      <c r="F48" s="1" t="s">
        <v>72</v>
      </c>
      <c r="G48" s="2">
        <v>2</v>
      </c>
      <c r="H48" s="1">
        <v>705.42</v>
      </c>
      <c r="I48" s="1" t="s">
        <v>41</v>
      </c>
      <c r="J48" s="1" t="s">
        <v>23</v>
      </c>
      <c r="K48" s="5">
        <f>Table1[[#This Row],[Quantity]]*Table1[[#This Row],[Price]]</f>
        <v>1410.84</v>
      </c>
    </row>
    <row r="49" spans="1:11" x14ac:dyDescent="0.25">
      <c r="A49" s="2">
        <v>147</v>
      </c>
      <c r="B49" s="1" t="s">
        <v>139</v>
      </c>
      <c r="C49" s="1" t="s">
        <v>140</v>
      </c>
      <c r="D49" s="3">
        <v>45778</v>
      </c>
      <c r="E49" s="1" t="s">
        <v>141</v>
      </c>
      <c r="F49" s="1" t="s">
        <v>59</v>
      </c>
      <c r="G49" s="2">
        <v>4</v>
      </c>
      <c r="H49" s="1">
        <v>596.15</v>
      </c>
      <c r="I49" s="1" t="s">
        <v>15</v>
      </c>
      <c r="J49" s="1" t="s">
        <v>16</v>
      </c>
      <c r="K49" s="5">
        <f>Table1[[#This Row],[Quantity]]*Table1[[#This Row],[Price]]</f>
        <v>2384.6</v>
      </c>
    </row>
    <row r="50" spans="1:11" x14ac:dyDescent="0.25">
      <c r="A50" s="2">
        <v>148</v>
      </c>
      <c r="B50" s="1" t="s">
        <v>142</v>
      </c>
      <c r="C50" s="1" t="s">
        <v>143</v>
      </c>
      <c r="D50" s="3">
        <v>45729</v>
      </c>
      <c r="E50" s="1" t="s">
        <v>26</v>
      </c>
      <c r="F50" s="1" t="s">
        <v>27</v>
      </c>
      <c r="G50" s="2">
        <v>1</v>
      </c>
      <c r="H50" s="1">
        <v>660.98</v>
      </c>
      <c r="I50" s="1" t="s">
        <v>15</v>
      </c>
      <c r="J50" s="1" t="s">
        <v>44</v>
      </c>
      <c r="K50" s="5">
        <f>Table1[[#This Row],[Quantity]]*Table1[[#This Row],[Price]]</f>
        <v>660.98</v>
      </c>
    </row>
    <row r="51" spans="1:11" x14ac:dyDescent="0.25">
      <c r="A51" s="2">
        <v>149</v>
      </c>
      <c r="B51" s="1" t="s">
        <v>144</v>
      </c>
      <c r="C51" s="1" t="s">
        <v>145</v>
      </c>
      <c r="D51" s="3">
        <v>45837</v>
      </c>
      <c r="E51" s="1" t="s">
        <v>55</v>
      </c>
      <c r="F51" s="1" t="s">
        <v>32</v>
      </c>
      <c r="G51" s="2">
        <v>5</v>
      </c>
      <c r="H51" s="1">
        <v>896.38</v>
      </c>
      <c r="I51" s="1" t="s">
        <v>41</v>
      </c>
      <c r="J51" s="1" t="s">
        <v>38</v>
      </c>
      <c r="K51" s="5">
        <f>Table1[[#This Row],[Quantity]]*Table1[[#This Row],[Price]]</f>
        <v>4481.8999999999996</v>
      </c>
    </row>
    <row r="52" spans="1:11" x14ac:dyDescent="0.25">
      <c r="A52" s="2">
        <v>150</v>
      </c>
      <c r="B52" s="1" t="s">
        <v>146</v>
      </c>
      <c r="C52" s="1" t="s">
        <v>147</v>
      </c>
      <c r="D52" s="3">
        <v>45623</v>
      </c>
      <c r="E52" s="1" t="s">
        <v>79</v>
      </c>
      <c r="F52" s="1" t="s">
        <v>27</v>
      </c>
      <c r="G52" s="2">
        <v>1</v>
      </c>
      <c r="H52" s="1">
        <v>206.19</v>
      </c>
      <c r="I52" s="1" t="s">
        <v>49</v>
      </c>
      <c r="J52" s="1" t="s">
        <v>44</v>
      </c>
      <c r="K52" s="5">
        <f>Table1[[#This Row],[Quantity]]*Table1[[#This Row],[Price]]</f>
        <v>206.19</v>
      </c>
    </row>
    <row r="53" spans="1:11" x14ac:dyDescent="0.25">
      <c r="A53" s="2">
        <v>151</v>
      </c>
      <c r="B53" s="1" t="s">
        <v>148</v>
      </c>
      <c r="C53" s="1" t="s">
        <v>149</v>
      </c>
      <c r="D53" s="3">
        <v>45839</v>
      </c>
      <c r="E53" s="1" t="s">
        <v>55</v>
      </c>
      <c r="F53" s="1" t="s">
        <v>32</v>
      </c>
      <c r="G53" s="2">
        <v>2</v>
      </c>
      <c r="H53" s="1">
        <v>457.16</v>
      </c>
      <c r="I53" s="1" t="s">
        <v>22</v>
      </c>
      <c r="J53" s="1" t="s">
        <v>23</v>
      </c>
      <c r="K53" s="5">
        <f>Table1[[#This Row],[Quantity]]*Table1[[#This Row],[Price]]</f>
        <v>914.32</v>
      </c>
    </row>
    <row r="54" spans="1:11" x14ac:dyDescent="0.25">
      <c r="A54" s="2">
        <v>152</v>
      </c>
      <c r="B54" s="1" t="s">
        <v>150</v>
      </c>
      <c r="C54" s="1" t="s">
        <v>151</v>
      </c>
      <c r="D54" s="3">
        <v>45922</v>
      </c>
      <c r="E54" s="1" t="s">
        <v>97</v>
      </c>
      <c r="F54" s="1" t="s">
        <v>14</v>
      </c>
      <c r="G54" s="2">
        <v>3</v>
      </c>
      <c r="H54" s="1">
        <v>233.11</v>
      </c>
      <c r="I54" s="1" t="s">
        <v>22</v>
      </c>
      <c r="J54" s="1" t="s">
        <v>44</v>
      </c>
      <c r="K54" s="5">
        <f>Table1[[#This Row],[Quantity]]*Table1[[#This Row],[Price]]</f>
        <v>699.33</v>
      </c>
    </row>
    <row r="55" spans="1:11" x14ac:dyDescent="0.25">
      <c r="A55" s="2">
        <v>153</v>
      </c>
      <c r="B55" s="1" t="s">
        <v>152</v>
      </c>
      <c r="C55" s="1" t="s">
        <v>153</v>
      </c>
      <c r="D55" s="3">
        <v>45854</v>
      </c>
      <c r="E55" s="1" t="s">
        <v>79</v>
      </c>
      <c r="F55" s="1" t="s">
        <v>27</v>
      </c>
      <c r="G55" s="2">
        <v>4</v>
      </c>
      <c r="H55" s="1">
        <v>278.89999999999998</v>
      </c>
      <c r="I55" s="1" t="s">
        <v>15</v>
      </c>
      <c r="J55" s="1" t="s">
        <v>23</v>
      </c>
      <c r="K55" s="5">
        <f>Table1[[#This Row],[Quantity]]*Table1[[#This Row],[Price]]</f>
        <v>1115.5999999999999</v>
      </c>
    </row>
    <row r="56" spans="1:11" x14ac:dyDescent="0.25">
      <c r="A56" s="2">
        <v>154</v>
      </c>
      <c r="B56" s="1" t="s">
        <v>154</v>
      </c>
      <c r="C56" s="1" t="s">
        <v>155</v>
      </c>
      <c r="D56" s="3">
        <v>45709</v>
      </c>
      <c r="E56" s="1" t="s">
        <v>13</v>
      </c>
      <c r="F56" s="1" t="s">
        <v>14</v>
      </c>
      <c r="G56" s="2">
        <v>5</v>
      </c>
      <c r="H56" s="1">
        <v>789.64</v>
      </c>
      <c r="I56" s="1" t="s">
        <v>15</v>
      </c>
      <c r="J56" s="1" t="s">
        <v>38</v>
      </c>
      <c r="K56" s="5">
        <f>Table1[[#This Row],[Quantity]]*Table1[[#This Row],[Price]]</f>
        <v>3948.2</v>
      </c>
    </row>
    <row r="57" spans="1:11" x14ac:dyDescent="0.25">
      <c r="A57" s="2">
        <v>155</v>
      </c>
      <c r="B57" s="1" t="s">
        <v>156</v>
      </c>
      <c r="C57" s="1" t="s">
        <v>157</v>
      </c>
      <c r="D57" s="3">
        <v>45778</v>
      </c>
      <c r="E57" s="1" t="s">
        <v>58</v>
      </c>
      <c r="F57" s="1" t="s">
        <v>59</v>
      </c>
      <c r="G57" s="2">
        <v>1</v>
      </c>
      <c r="H57" s="1">
        <v>40.950000000000003</v>
      </c>
      <c r="I57" s="1" t="s">
        <v>22</v>
      </c>
      <c r="J57" s="1" t="s">
        <v>44</v>
      </c>
      <c r="K57" s="5">
        <f>Table1[[#This Row],[Quantity]]*Table1[[#This Row],[Price]]</f>
        <v>40.950000000000003</v>
      </c>
    </row>
    <row r="58" spans="1:11" x14ac:dyDescent="0.25">
      <c r="A58" s="2">
        <v>156</v>
      </c>
      <c r="B58" s="1" t="s">
        <v>158</v>
      </c>
      <c r="C58" s="1" t="s">
        <v>159</v>
      </c>
      <c r="D58" s="3">
        <v>45624</v>
      </c>
      <c r="E58" s="1" t="s">
        <v>160</v>
      </c>
      <c r="F58" s="1" t="s">
        <v>59</v>
      </c>
      <c r="G58" s="2">
        <v>2</v>
      </c>
      <c r="H58" s="1">
        <v>0</v>
      </c>
      <c r="I58" s="1" t="s">
        <v>41</v>
      </c>
      <c r="J58" s="1" t="s">
        <v>16</v>
      </c>
      <c r="K58" s="5">
        <f>Table1[[#This Row],[Quantity]]*Table1[[#This Row],[Price]]</f>
        <v>0</v>
      </c>
    </row>
    <row r="59" spans="1:11" x14ac:dyDescent="0.25">
      <c r="A59" s="2">
        <v>157</v>
      </c>
      <c r="B59" s="1" t="s">
        <v>161</v>
      </c>
      <c r="C59" s="1" t="s">
        <v>162</v>
      </c>
      <c r="D59" s="3">
        <v>45967</v>
      </c>
      <c r="E59" s="1" t="s">
        <v>141</v>
      </c>
      <c r="F59" s="1" t="s">
        <v>59</v>
      </c>
      <c r="G59" s="2">
        <v>4</v>
      </c>
      <c r="H59" s="1">
        <v>275.10000000000002</v>
      </c>
      <c r="I59" s="1" t="s">
        <v>41</v>
      </c>
      <c r="J59" s="1" t="s">
        <v>23</v>
      </c>
      <c r="K59" s="5">
        <f>Table1[[#This Row],[Quantity]]*Table1[[#This Row],[Price]]</f>
        <v>1100.4000000000001</v>
      </c>
    </row>
    <row r="60" spans="1:11" x14ac:dyDescent="0.25">
      <c r="A60" s="2">
        <v>158</v>
      </c>
      <c r="B60" s="1" t="s">
        <v>163</v>
      </c>
      <c r="C60" s="1" t="s">
        <v>164</v>
      </c>
      <c r="D60" s="3">
        <v>45752</v>
      </c>
      <c r="E60" s="1" t="s">
        <v>113</v>
      </c>
      <c r="F60" s="1" t="s">
        <v>20</v>
      </c>
      <c r="G60" s="2">
        <v>1</v>
      </c>
      <c r="H60" s="1">
        <v>933.58</v>
      </c>
      <c r="I60" s="1" t="s">
        <v>15</v>
      </c>
      <c r="J60" s="1" t="s">
        <v>16</v>
      </c>
      <c r="K60" s="5">
        <f>Table1[[#This Row],[Quantity]]*Table1[[#This Row],[Price]]</f>
        <v>933.58</v>
      </c>
    </row>
    <row r="61" spans="1:11" x14ac:dyDescent="0.25">
      <c r="A61" s="2">
        <v>159</v>
      </c>
      <c r="B61" s="1" t="s">
        <v>165</v>
      </c>
      <c r="C61" s="1" t="s">
        <v>166</v>
      </c>
      <c r="D61" s="3">
        <v>45866</v>
      </c>
      <c r="E61" s="1" t="s">
        <v>69</v>
      </c>
      <c r="F61" s="1" t="s">
        <v>14</v>
      </c>
      <c r="G61" s="2">
        <v>3</v>
      </c>
      <c r="H61" s="1">
        <v>163.16</v>
      </c>
      <c r="I61" s="1" t="s">
        <v>22</v>
      </c>
      <c r="J61" s="1" t="s">
        <v>16</v>
      </c>
      <c r="K61" s="5">
        <f>Table1[[#This Row],[Quantity]]*Table1[[#This Row],[Price]]</f>
        <v>489.48</v>
      </c>
    </row>
    <row r="62" spans="1:11" x14ac:dyDescent="0.25">
      <c r="A62" s="2">
        <v>160</v>
      </c>
      <c r="B62" s="1" t="s">
        <v>167</v>
      </c>
      <c r="C62" s="1" t="s">
        <v>168</v>
      </c>
      <c r="D62" s="3">
        <v>45660</v>
      </c>
      <c r="E62" s="1" t="s">
        <v>31</v>
      </c>
      <c r="F62" s="1" t="s">
        <v>32</v>
      </c>
      <c r="G62" s="2">
        <v>5</v>
      </c>
      <c r="H62" s="1">
        <v>242.52</v>
      </c>
      <c r="I62" s="1" t="s">
        <v>15</v>
      </c>
      <c r="J62" s="1" t="s">
        <v>44</v>
      </c>
      <c r="K62" s="5">
        <f>Table1[[#This Row],[Quantity]]*Table1[[#This Row],[Price]]</f>
        <v>1212.6000000000001</v>
      </c>
    </row>
    <row r="63" spans="1:11" x14ac:dyDescent="0.25">
      <c r="A63" s="2">
        <v>161</v>
      </c>
      <c r="B63" s="1" t="s">
        <v>169</v>
      </c>
      <c r="C63" s="1" t="s">
        <v>170</v>
      </c>
      <c r="D63" s="3">
        <v>45641</v>
      </c>
      <c r="E63" s="1" t="s">
        <v>31</v>
      </c>
      <c r="F63" s="1" t="s">
        <v>32</v>
      </c>
      <c r="G63" s="2">
        <v>4</v>
      </c>
      <c r="H63" s="1">
        <v>209.32</v>
      </c>
      <c r="I63" s="1" t="s">
        <v>41</v>
      </c>
      <c r="J63" s="1" t="s">
        <v>16</v>
      </c>
      <c r="K63" s="5">
        <f>Table1[[#This Row],[Quantity]]*Table1[[#This Row],[Price]]</f>
        <v>837.28</v>
      </c>
    </row>
    <row r="64" spans="1:11" x14ac:dyDescent="0.25">
      <c r="A64" s="2">
        <v>162</v>
      </c>
      <c r="B64" s="1" t="s">
        <v>171</v>
      </c>
      <c r="C64" s="1" t="s">
        <v>172</v>
      </c>
      <c r="D64" s="3">
        <v>45796</v>
      </c>
      <c r="E64" s="1" t="s">
        <v>13</v>
      </c>
      <c r="F64" s="1" t="s">
        <v>14</v>
      </c>
      <c r="G64" s="2">
        <v>2</v>
      </c>
      <c r="H64" s="1">
        <v>155.76</v>
      </c>
      <c r="I64" s="1" t="s">
        <v>49</v>
      </c>
      <c r="J64" s="1" t="s">
        <v>44</v>
      </c>
      <c r="K64" s="5">
        <f>Table1[[#This Row],[Quantity]]*Table1[[#This Row],[Price]]</f>
        <v>311.52</v>
      </c>
    </row>
    <row r="65" spans="1:11" x14ac:dyDescent="0.25">
      <c r="A65" s="2">
        <v>163</v>
      </c>
      <c r="B65" s="1" t="s">
        <v>173</v>
      </c>
      <c r="C65" s="1" t="s">
        <v>174</v>
      </c>
      <c r="D65" s="3">
        <v>44931</v>
      </c>
      <c r="E65" s="1" t="s">
        <v>113</v>
      </c>
      <c r="F65" s="1" t="s">
        <v>20</v>
      </c>
      <c r="G65" s="2">
        <v>3</v>
      </c>
      <c r="H65" s="1">
        <v>235.26</v>
      </c>
      <c r="I65" s="1" t="s">
        <v>15</v>
      </c>
      <c r="J65" s="1" t="s">
        <v>16</v>
      </c>
      <c r="K65" s="5">
        <f>Table1[[#This Row],[Quantity]]*Table1[[#This Row],[Price]]</f>
        <v>705.78</v>
      </c>
    </row>
    <row r="66" spans="1:11" x14ac:dyDescent="0.25">
      <c r="A66" s="2">
        <v>164</v>
      </c>
      <c r="B66" s="1" t="s">
        <v>175</v>
      </c>
      <c r="C66" s="1" t="s">
        <v>176</v>
      </c>
      <c r="D66" s="3">
        <v>45697</v>
      </c>
      <c r="E66" s="1" t="s">
        <v>26</v>
      </c>
      <c r="F66" s="1" t="s">
        <v>27</v>
      </c>
      <c r="G66" s="2">
        <v>0</v>
      </c>
      <c r="H66" s="1">
        <v>587.64</v>
      </c>
      <c r="I66" s="1" t="s">
        <v>49</v>
      </c>
      <c r="J66" s="1" t="s">
        <v>44</v>
      </c>
      <c r="K66" s="5">
        <f>Table1[[#This Row],[Quantity]]*Table1[[#This Row],[Price]]</f>
        <v>0</v>
      </c>
    </row>
    <row r="67" spans="1:11" x14ac:dyDescent="0.25">
      <c r="A67" s="2">
        <v>165</v>
      </c>
      <c r="B67" s="1" t="s">
        <v>177</v>
      </c>
      <c r="C67" s="1" t="s">
        <v>178</v>
      </c>
      <c r="D67" s="3">
        <v>45604</v>
      </c>
      <c r="E67" s="1" t="s">
        <v>58</v>
      </c>
      <c r="F67" s="1" t="s">
        <v>59</v>
      </c>
      <c r="G67" s="2">
        <v>2</v>
      </c>
      <c r="H67" s="1">
        <v>443.13</v>
      </c>
      <c r="I67" s="1" t="s">
        <v>49</v>
      </c>
      <c r="J67" s="1" t="s">
        <v>28</v>
      </c>
      <c r="K67" s="5">
        <f>Table1[[#This Row],[Quantity]]*Table1[[#This Row],[Price]]</f>
        <v>886.26</v>
      </c>
    </row>
    <row r="68" spans="1:11" x14ac:dyDescent="0.25">
      <c r="A68" s="2">
        <v>166</v>
      </c>
      <c r="B68" s="1" t="s">
        <v>179</v>
      </c>
      <c r="C68" s="1" t="s">
        <v>180</v>
      </c>
      <c r="D68" s="3">
        <v>45841</v>
      </c>
      <c r="E68" s="1" t="s">
        <v>110</v>
      </c>
      <c r="F68" s="1" t="s">
        <v>20</v>
      </c>
      <c r="G68" s="2">
        <v>2</v>
      </c>
      <c r="H68" s="1">
        <v>569.38</v>
      </c>
      <c r="I68" s="1" t="s">
        <v>15</v>
      </c>
      <c r="J68" s="1" t="s">
        <v>16</v>
      </c>
      <c r="K68" s="5">
        <f>Table1[[#This Row],[Quantity]]*Table1[[#This Row],[Price]]</f>
        <v>1138.76</v>
      </c>
    </row>
    <row r="69" spans="1:11" x14ac:dyDescent="0.25">
      <c r="A69" s="2">
        <v>167</v>
      </c>
      <c r="B69" s="1" t="s">
        <v>181</v>
      </c>
      <c r="C69" s="1" t="s">
        <v>182</v>
      </c>
      <c r="D69" s="3">
        <v>45876</v>
      </c>
      <c r="E69" s="1" t="s">
        <v>52</v>
      </c>
      <c r="F69" s="1" t="s">
        <v>27</v>
      </c>
      <c r="G69" s="2">
        <v>0</v>
      </c>
      <c r="H69" s="1">
        <v>593.92999999999995</v>
      </c>
      <c r="I69" s="1" t="s">
        <v>15</v>
      </c>
      <c r="J69" s="1" t="s">
        <v>23</v>
      </c>
      <c r="K69" s="5">
        <f>Table1[[#This Row],[Quantity]]*Table1[[#This Row],[Price]]</f>
        <v>0</v>
      </c>
    </row>
    <row r="70" spans="1:11" x14ac:dyDescent="0.25">
      <c r="A70" s="2">
        <v>168</v>
      </c>
      <c r="B70" s="1" t="s">
        <v>183</v>
      </c>
      <c r="C70" s="1" t="s">
        <v>184</v>
      </c>
      <c r="D70" s="3">
        <v>45965</v>
      </c>
      <c r="E70" s="1" t="s">
        <v>35</v>
      </c>
      <c r="F70" s="1" t="s">
        <v>32</v>
      </c>
      <c r="G70" s="2">
        <v>2</v>
      </c>
      <c r="H70" s="1">
        <v>141.49</v>
      </c>
      <c r="I70" s="1" t="s">
        <v>22</v>
      </c>
      <c r="J70" s="1" t="s">
        <v>38</v>
      </c>
      <c r="K70" s="5">
        <f>Table1[[#This Row],[Quantity]]*Table1[[#This Row],[Price]]</f>
        <v>282.98</v>
      </c>
    </row>
    <row r="71" spans="1:11" x14ac:dyDescent="0.25">
      <c r="A71" s="2">
        <v>169</v>
      </c>
      <c r="B71" s="1" t="s">
        <v>185</v>
      </c>
      <c r="C71" s="1" t="s">
        <v>186</v>
      </c>
      <c r="D71" s="3">
        <v>45881</v>
      </c>
      <c r="E71" s="1" t="s">
        <v>52</v>
      </c>
      <c r="F71" s="1" t="s">
        <v>27</v>
      </c>
      <c r="G71" s="2">
        <v>1</v>
      </c>
      <c r="H71" s="1">
        <v>582.13</v>
      </c>
      <c r="I71" s="1" t="s">
        <v>49</v>
      </c>
      <c r="J71" s="1" t="s">
        <v>44</v>
      </c>
      <c r="K71" s="5">
        <f>Table1[[#This Row],[Quantity]]*Table1[[#This Row],[Price]]</f>
        <v>582.13</v>
      </c>
    </row>
    <row r="72" spans="1:11" x14ac:dyDescent="0.25">
      <c r="A72" s="2">
        <v>170</v>
      </c>
      <c r="B72" s="1" t="s">
        <v>187</v>
      </c>
      <c r="C72" s="1" t="s">
        <v>188</v>
      </c>
      <c r="D72" s="3">
        <v>45933</v>
      </c>
      <c r="E72" s="1" t="s">
        <v>160</v>
      </c>
      <c r="F72" s="1" t="s">
        <v>59</v>
      </c>
      <c r="G72" s="2">
        <v>5</v>
      </c>
      <c r="H72" s="1">
        <v>741.63</v>
      </c>
      <c r="I72" s="1" t="s">
        <v>41</v>
      </c>
      <c r="J72" s="1" t="s">
        <v>23</v>
      </c>
      <c r="K72" s="5">
        <f>Table1[[#This Row],[Quantity]]*Table1[[#This Row],[Price]]</f>
        <v>3708.15</v>
      </c>
    </row>
    <row r="73" spans="1:11" x14ac:dyDescent="0.25">
      <c r="A73" s="2">
        <v>171</v>
      </c>
      <c r="B73" s="1" t="s">
        <v>189</v>
      </c>
      <c r="C73" s="1" t="s">
        <v>190</v>
      </c>
      <c r="D73" s="3">
        <v>45632</v>
      </c>
      <c r="E73" s="1" t="s">
        <v>58</v>
      </c>
      <c r="F73" s="1" t="s">
        <v>59</v>
      </c>
      <c r="G73" s="2">
        <v>3</v>
      </c>
      <c r="H73" s="1">
        <v>688.68</v>
      </c>
      <c r="I73" s="1" t="s">
        <v>22</v>
      </c>
      <c r="J73" s="1" t="s">
        <v>23</v>
      </c>
      <c r="K73" s="5">
        <f>Table1[[#This Row],[Quantity]]*Table1[[#This Row],[Price]]</f>
        <v>2066.04</v>
      </c>
    </row>
    <row r="74" spans="1:11" x14ac:dyDescent="0.25">
      <c r="A74" s="2">
        <v>172</v>
      </c>
      <c r="B74" s="1" t="s">
        <v>191</v>
      </c>
      <c r="C74" s="1" t="s">
        <v>192</v>
      </c>
      <c r="D74" s="3">
        <v>45614</v>
      </c>
      <c r="E74" s="1" t="s">
        <v>55</v>
      </c>
      <c r="F74" s="1" t="s">
        <v>32</v>
      </c>
      <c r="G74" s="2">
        <v>2</v>
      </c>
      <c r="H74" s="1">
        <v>942.76</v>
      </c>
      <c r="I74" s="1" t="s">
        <v>41</v>
      </c>
      <c r="J74" s="1" t="s">
        <v>44</v>
      </c>
      <c r="K74" s="5">
        <f>Table1[[#This Row],[Quantity]]*Table1[[#This Row],[Price]]</f>
        <v>1885.52</v>
      </c>
    </row>
    <row r="75" spans="1:11" x14ac:dyDescent="0.25">
      <c r="A75" s="2">
        <v>173</v>
      </c>
      <c r="B75" s="1" t="s">
        <v>193</v>
      </c>
      <c r="C75" s="1" t="s">
        <v>194</v>
      </c>
      <c r="D75" s="3">
        <v>45941</v>
      </c>
      <c r="E75" s="1" t="s">
        <v>97</v>
      </c>
      <c r="F75" s="1" t="s">
        <v>14</v>
      </c>
      <c r="G75" s="2">
        <v>5</v>
      </c>
      <c r="H75" s="1">
        <v>351.89</v>
      </c>
      <c r="I75" s="1" t="s">
        <v>49</v>
      </c>
      <c r="J75" s="1" t="s">
        <v>16</v>
      </c>
      <c r="K75" s="5">
        <f>Table1[[#This Row],[Quantity]]*Table1[[#This Row],[Price]]</f>
        <v>1759.4499999999998</v>
      </c>
    </row>
    <row r="76" spans="1:11" x14ac:dyDescent="0.25">
      <c r="A76" s="2">
        <v>174</v>
      </c>
      <c r="B76" s="1" t="s">
        <v>195</v>
      </c>
      <c r="C76" s="1" t="s">
        <v>196</v>
      </c>
      <c r="D76" s="3">
        <v>45920</v>
      </c>
      <c r="E76" s="1" t="s">
        <v>69</v>
      </c>
      <c r="F76" s="1" t="s">
        <v>20</v>
      </c>
      <c r="G76" s="2">
        <v>4</v>
      </c>
      <c r="H76" s="1">
        <v>187.48</v>
      </c>
      <c r="I76" s="1" t="s">
        <v>49</v>
      </c>
      <c r="J76" s="1" t="s">
        <v>44</v>
      </c>
      <c r="K76" s="5">
        <f>Table1[[#This Row],[Quantity]]*Table1[[#This Row],[Price]]</f>
        <v>749.92</v>
      </c>
    </row>
    <row r="77" spans="1:11" x14ac:dyDescent="0.25">
      <c r="A77" s="2">
        <v>175</v>
      </c>
      <c r="B77" s="1" t="s">
        <v>197</v>
      </c>
      <c r="C77" s="1" t="s">
        <v>198</v>
      </c>
      <c r="D77" s="3">
        <v>45712</v>
      </c>
      <c r="E77" s="1" t="s">
        <v>116</v>
      </c>
      <c r="F77" s="1" t="s">
        <v>20</v>
      </c>
      <c r="G77" s="2">
        <v>1</v>
      </c>
      <c r="H77" s="1">
        <v>111.36</v>
      </c>
      <c r="I77" s="1" t="s">
        <v>49</v>
      </c>
      <c r="J77" s="1" t="s">
        <v>23</v>
      </c>
      <c r="K77" s="5">
        <f>Table1[[#This Row],[Quantity]]*Table1[[#This Row],[Price]]</f>
        <v>111.36</v>
      </c>
    </row>
    <row r="78" spans="1:11" x14ac:dyDescent="0.25">
      <c r="A78" s="2">
        <v>176</v>
      </c>
      <c r="B78" s="1" t="s">
        <v>199</v>
      </c>
      <c r="C78" s="1" t="s">
        <v>200</v>
      </c>
      <c r="D78" s="3">
        <v>45860</v>
      </c>
      <c r="E78" s="1" t="s">
        <v>55</v>
      </c>
      <c r="F78" s="1" t="s">
        <v>32</v>
      </c>
      <c r="G78" s="2">
        <v>5</v>
      </c>
      <c r="H78" s="1">
        <v>530.52</v>
      </c>
      <c r="I78" s="1" t="s">
        <v>15</v>
      </c>
      <c r="J78" s="1" t="s">
        <v>16</v>
      </c>
      <c r="K78" s="5">
        <f>Table1[[#This Row],[Quantity]]*Table1[[#This Row],[Price]]</f>
        <v>2652.6</v>
      </c>
    </row>
    <row r="79" spans="1:11" x14ac:dyDescent="0.25">
      <c r="A79" s="2">
        <v>177</v>
      </c>
      <c r="B79" s="1" t="s">
        <v>201</v>
      </c>
      <c r="C79" s="1" t="s">
        <v>202</v>
      </c>
      <c r="D79" s="3">
        <v>45866</v>
      </c>
      <c r="E79" s="1" t="s">
        <v>136</v>
      </c>
      <c r="F79" s="1" t="s">
        <v>20</v>
      </c>
      <c r="G79" s="2">
        <v>1</v>
      </c>
      <c r="H79" s="1">
        <v>69.48</v>
      </c>
      <c r="I79" s="1" t="s">
        <v>41</v>
      </c>
      <c r="J79" s="1" t="s">
        <v>44</v>
      </c>
      <c r="K79" s="5">
        <f>Table1[[#This Row],[Quantity]]*Table1[[#This Row],[Price]]</f>
        <v>69.48</v>
      </c>
    </row>
    <row r="80" spans="1:11" x14ac:dyDescent="0.25">
      <c r="A80" s="2">
        <v>178</v>
      </c>
      <c r="B80" s="1" t="s">
        <v>203</v>
      </c>
      <c r="C80" s="1" t="s">
        <v>204</v>
      </c>
      <c r="D80" s="3">
        <v>45918</v>
      </c>
      <c r="E80" s="1" t="s">
        <v>26</v>
      </c>
      <c r="F80" s="1" t="s">
        <v>27</v>
      </c>
      <c r="G80" s="2">
        <v>3</v>
      </c>
      <c r="H80" s="1">
        <v>472.14</v>
      </c>
      <c r="I80" s="1" t="s">
        <v>22</v>
      </c>
      <c r="J80" s="1" t="s">
        <v>44</v>
      </c>
      <c r="K80" s="5">
        <f>Table1[[#This Row],[Quantity]]*Table1[[#This Row],[Price]]</f>
        <v>1416.42</v>
      </c>
    </row>
    <row r="81" spans="1:11" x14ac:dyDescent="0.25">
      <c r="A81" s="2">
        <v>179</v>
      </c>
      <c r="B81" s="1" t="s">
        <v>205</v>
      </c>
      <c r="C81" s="1" t="s">
        <v>206</v>
      </c>
      <c r="D81" s="3">
        <v>45903</v>
      </c>
      <c r="E81" s="1" t="s">
        <v>79</v>
      </c>
      <c r="F81" s="1" t="s">
        <v>27</v>
      </c>
      <c r="G81" s="2">
        <v>3</v>
      </c>
      <c r="H81" s="1">
        <v>868.67</v>
      </c>
      <c r="I81" s="1" t="s">
        <v>22</v>
      </c>
      <c r="J81" s="1" t="s">
        <v>28</v>
      </c>
      <c r="K81" s="5">
        <f>Table1[[#This Row],[Quantity]]*Table1[[#This Row],[Price]]</f>
        <v>2606.0099999999998</v>
      </c>
    </row>
    <row r="82" spans="1:11" x14ac:dyDescent="0.25">
      <c r="A82" s="2">
        <v>180</v>
      </c>
      <c r="B82" s="1" t="s">
        <v>207</v>
      </c>
      <c r="C82" s="1" t="s">
        <v>208</v>
      </c>
      <c r="D82" s="3">
        <v>45742</v>
      </c>
      <c r="E82" s="1" t="s">
        <v>136</v>
      </c>
      <c r="F82" s="1" t="s">
        <v>20</v>
      </c>
      <c r="G82" s="2">
        <v>2</v>
      </c>
      <c r="H82" s="1">
        <v>418.38</v>
      </c>
      <c r="I82" s="1" t="s">
        <v>49</v>
      </c>
      <c r="J82" s="1" t="s">
        <v>23</v>
      </c>
      <c r="K82" s="5">
        <f>Table1[[#This Row],[Quantity]]*Table1[[#This Row],[Price]]</f>
        <v>836.76</v>
      </c>
    </row>
    <row r="83" spans="1:11" x14ac:dyDescent="0.25">
      <c r="A83" s="2">
        <v>181</v>
      </c>
      <c r="B83" s="1" t="s">
        <v>209</v>
      </c>
      <c r="C83" s="1" t="s">
        <v>210</v>
      </c>
      <c r="D83" s="3">
        <v>45655</v>
      </c>
      <c r="E83" s="1" t="s">
        <v>19</v>
      </c>
      <c r="F83" s="1" t="s">
        <v>20</v>
      </c>
      <c r="G83" s="2">
        <v>1</v>
      </c>
      <c r="H83" s="1">
        <v>266.48</v>
      </c>
      <c r="I83" s="1" t="s">
        <v>15</v>
      </c>
      <c r="J83" s="1" t="s">
        <v>38</v>
      </c>
      <c r="K83" s="5">
        <f>Table1[[#This Row],[Quantity]]*Table1[[#This Row],[Price]]</f>
        <v>266.48</v>
      </c>
    </row>
    <row r="84" spans="1:11" x14ac:dyDescent="0.25">
      <c r="A84" s="2">
        <v>182</v>
      </c>
      <c r="B84" s="1" t="s">
        <v>211</v>
      </c>
      <c r="C84" s="1" t="s">
        <v>212</v>
      </c>
      <c r="D84" s="3">
        <v>45872</v>
      </c>
      <c r="E84" s="1" t="s">
        <v>58</v>
      </c>
      <c r="F84" s="1" t="s">
        <v>59</v>
      </c>
      <c r="G84" s="2">
        <v>4</v>
      </c>
      <c r="H84" s="1">
        <v>538.35</v>
      </c>
      <c r="I84" s="1" t="s">
        <v>22</v>
      </c>
      <c r="J84" s="1" t="s">
        <v>23</v>
      </c>
      <c r="K84" s="5">
        <f>Table1[[#This Row],[Quantity]]*Table1[[#This Row],[Price]]</f>
        <v>2153.4</v>
      </c>
    </row>
    <row r="85" spans="1:11" x14ac:dyDescent="0.25">
      <c r="A85" s="2">
        <v>183</v>
      </c>
      <c r="B85" s="1" t="s">
        <v>213</v>
      </c>
      <c r="C85" s="1" t="s">
        <v>214</v>
      </c>
      <c r="D85" s="3">
        <v>45726</v>
      </c>
      <c r="E85" s="1" t="s">
        <v>58</v>
      </c>
      <c r="F85" s="1" t="s">
        <v>59</v>
      </c>
      <c r="G85" s="2">
        <v>5</v>
      </c>
      <c r="H85" s="1">
        <v>0</v>
      </c>
      <c r="I85" s="1" t="s">
        <v>15</v>
      </c>
      <c r="J85" s="1" t="s">
        <v>44</v>
      </c>
      <c r="K85" s="5">
        <f>Table1[[#This Row],[Quantity]]*Table1[[#This Row],[Price]]</f>
        <v>0</v>
      </c>
    </row>
    <row r="86" spans="1:11" x14ac:dyDescent="0.25">
      <c r="A86" s="2">
        <v>184</v>
      </c>
      <c r="B86" s="1" t="s">
        <v>215</v>
      </c>
      <c r="C86" s="1" t="s">
        <v>216</v>
      </c>
      <c r="D86" s="3">
        <v>45703</v>
      </c>
      <c r="E86" s="1" t="s">
        <v>160</v>
      </c>
      <c r="F86" s="1" t="s">
        <v>59</v>
      </c>
      <c r="G86" s="2">
        <v>4</v>
      </c>
      <c r="H86" s="1">
        <v>101.19</v>
      </c>
      <c r="I86" s="1" t="s">
        <v>41</v>
      </c>
      <c r="J86" s="1" t="s">
        <v>23</v>
      </c>
      <c r="K86" s="5">
        <f>Table1[[#This Row],[Quantity]]*Table1[[#This Row],[Price]]</f>
        <v>404.76</v>
      </c>
    </row>
    <row r="87" spans="1:11" x14ac:dyDescent="0.25">
      <c r="A87" s="2">
        <v>185</v>
      </c>
      <c r="B87" s="1" t="s">
        <v>217</v>
      </c>
      <c r="C87" s="1" t="s">
        <v>218</v>
      </c>
      <c r="D87" s="3">
        <v>45883</v>
      </c>
      <c r="E87" s="1" t="s">
        <v>133</v>
      </c>
      <c r="F87" s="1" t="s">
        <v>27</v>
      </c>
      <c r="G87" s="2">
        <v>2</v>
      </c>
      <c r="H87" s="1">
        <v>730.92</v>
      </c>
      <c r="I87" s="1" t="s">
        <v>15</v>
      </c>
      <c r="J87" s="1" t="s">
        <v>38</v>
      </c>
      <c r="K87" s="5">
        <f>Table1[[#This Row],[Quantity]]*Table1[[#This Row],[Price]]</f>
        <v>1461.84</v>
      </c>
    </row>
    <row r="88" spans="1:11" x14ac:dyDescent="0.25">
      <c r="A88" s="2">
        <v>186</v>
      </c>
      <c r="B88" s="1" t="s">
        <v>219</v>
      </c>
      <c r="C88" s="1" t="s">
        <v>220</v>
      </c>
      <c r="D88" s="3">
        <v>45936</v>
      </c>
      <c r="E88" s="1" t="s">
        <v>136</v>
      </c>
      <c r="F88" s="1" t="s">
        <v>20</v>
      </c>
      <c r="G88" s="2">
        <v>1</v>
      </c>
      <c r="H88" s="1">
        <v>365.34</v>
      </c>
      <c r="I88" s="1" t="s">
        <v>41</v>
      </c>
      <c r="J88" s="1" t="s">
        <v>28</v>
      </c>
      <c r="K88" s="5">
        <f>Table1[[#This Row],[Quantity]]*Table1[[#This Row],[Price]]</f>
        <v>365.34</v>
      </c>
    </row>
    <row r="89" spans="1:11" x14ac:dyDescent="0.25">
      <c r="A89" s="2">
        <v>187</v>
      </c>
      <c r="B89" s="1" t="s">
        <v>221</v>
      </c>
      <c r="C89" s="1" t="s">
        <v>222</v>
      </c>
      <c r="D89" s="3">
        <v>45615</v>
      </c>
      <c r="E89" s="1" t="s">
        <v>19</v>
      </c>
      <c r="F89" s="1" t="s">
        <v>20</v>
      </c>
      <c r="G89" s="2">
        <v>3</v>
      </c>
      <c r="H89" s="1">
        <v>882.96</v>
      </c>
      <c r="I89" s="1" t="s">
        <v>41</v>
      </c>
      <c r="J89" s="1" t="s">
        <v>44</v>
      </c>
      <c r="K89" s="5">
        <f>Table1[[#This Row],[Quantity]]*Table1[[#This Row],[Price]]</f>
        <v>2648.88</v>
      </c>
    </row>
    <row r="90" spans="1:11" x14ac:dyDescent="0.25">
      <c r="A90" s="2">
        <v>188</v>
      </c>
      <c r="B90" s="1" t="s">
        <v>223</v>
      </c>
      <c r="C90" s="1" t="s">
        <v>224</v>
      </c>
      <c r="D90" s="3">
        <v>45615</v>
      </c>
      <c r="E90" s="1" t="s">
        <v>69</v>
      </c>
      <c r="F90" s="1" t="s">
        <v>14</v>
      </c>
      <c r="G90" s="2">
        <v>5</v>
      </c>
      <c r="H90" s="1">
        <v>504.05</v>
      </c>
      <c r="I90" s="1" t="s">
        <v>15</v>
      </c>
      <c r="J90" s="1" t="s">
        <v>16</v>
      </c>
      <c r="K90" s="5">
        <f>Table1[[#This Row],[Quantity]]*Table1[[#This Row],[Price]]</f>
        <v>2520.25</v>
      </c>
    </row>
    <row r="91" spans="1:11" x14ac:dyDescent="0.25">
      <c r="A91" s="2">
        <v>189</v>
      </c>
      <c r="B91" s="1" t="s">
        <v>225</v>
      </c>
      <c r="C91" s="1" t="s">
        <v>226</v>
      </c>
      <c r="D91" s="3">
        <v>45883</v>
      </c>
      <c r="E91" s="1" t="s">
        <v>97</v>
      </c>
      <c r="F91" s="1" t="s">
        <v>14</v>
      </c>
      <c r="G91" s="2">
        <v>1</v>
      </c>
      <c r="H91" s="1">
        <v>814.68</v>
      </c>
      <c r="I91" s="1" t="s">
        <v>15</v>
      </c>
      <c r="J91" s="1" t="s">
        <v>44</v>
      </c>
      <c r="K91" s="5">
        <f>Table1[[#This Row],[Quantity]]*Table1[[#This Row],[Price]]</f>
        <v>814.68</v>
      </c>
    </row>
    <row r="92" spans="1:11" x14ac:dyDescent="0.25">
      <c r="A92" s="2">
        <v>190</v>
      </c>
      <c r="B92" s="1" t="s">
        <v>227</v>
      </c>
      <c r="C92" s="1" t="s">
        <v>228</v>
      </c>
      <c r="D92" s="3">
        <v>45837</v>
      </c>
      <c r="E92" s="1" t="s">
        <v>86</v>
      </c>
      <c r="F92" s="1" t="s">
        <v>14</v>
      </c>
      <c r="G92" s="2">
        <v>1</v>
      </c>
      <c r="H92" s="1">
        <v>920.37</v>
      </c>
      <c r="I92" s="1" t="s">
        <v>41</v>
      </c>
      <c r="J92" s="1" t="s">
        <v>23</v>
      </c>
      <c r="K92" s="5">
        <f>Table1[[#This Row],[Quantity]]*Table1[[#This Row],[Price]]</f>
        <v>920.37</v>
      </c>
    </row>
    <row r="93" spans="1:11" x14ac:dyDescent="0.25">
      <c r="A93" s="2">
        <v>191</v>
      </c>
      <c r="B93" s="1" t="s">
        <v>229</v>
      </c>
      <c r="C93" s="1" t="s">
        <v>230</v>
      </c>
      <c r="D93" s="3">
        <v>45856</v>
      </c>
      <c r="E93" s="1" t="s">
        <v>62</v>
      </c>
      <c r="F93" s="1" t="s">
        <v>32</v>
      </c>
      <c r="G93" s="2">
        <v>2</v>
      </c>
      <c r="H93" s="1">
        <v>881.02</v>
      </c>
      <c r="I93" s="1" t="s">
        <v>15</v>
      </c>
      <c r="J93" s="1" t="s">
        <v>44</v>
      </c>
      <c r="K93" s="5">
        <f>Table1[[#This Row],[Quantity]]*Table1[[#This Row],[Price]]</f>
        <v>1762.04</v>
      </c>
    </row>
    <row r="94" spans="1:11" x14ac:dyDescent="0.25">
      <c r="A94" s="2">
        <v>192</v>
      </c>
      <c r="B94" s="1" t="s">
        <v>231</v>
      </c>
      <c r="C94" s="1" t="s">
        <v>232</v>
      </c>
      <c r="D94" s="3" t="s">
        <v>21</v>
      </c>
      <c r="E94" s="1" t="s">
        <v>141</v>
      </c>
      <c r="F94" s="1" t="s">
        <v>59</v>
      </c>
      <c r="G94" s="2">
        <v>0</v>
      </c>
      <c r="H94" s="1">
        <v>203.63</v>
      </c>
      <c r="I94" s="1" t="s">
        <v>49</v>
      </c>
      <c r="J94" s="1" t="s">
        <v>44</v>
      </c>
      <c r="K94" s="5">
        <f>Table1[[#This Row],[Quantity]]*Table1[[#This Row],[Price]]</f>
        <v>0</v>
      </c>
    </row>
    <row r="95" spans="1:11" x14ac:dyDescent="0.25">
      <c r="A95" s="2">
        <v>193</v>
      </c>
      <c r="B95" s="1" t="s">
        <v>233</v>
      </c>
      <c r="C95" s="1" t="s">
        <v>234</v>
      </c>
      <c r="D95" s="3">
        <v>45814</v>
      </c>
      <c r="E95" s="1" t="s">
        <v>52</v>
      </c>
      <c r="F95" s="1" t="s">
        <v>27</v>
      </c>
      <c r="G95" s="2">
        <v>0</v>
      </c>
      <c r="H95" s="1">
        <v>522.02</v>
      </c>
      <c r="I95" s="1" t="s">
        <v>22</v>
      </c>
      <c r="J95" s="1" t="s">
        <v>16</v>
      </c>
      <c r="K95" s="5">
        <f>Table1[[#This Row],[Quantity]]*Table1[[#This Row],[Price]]</f>
        <v>0</v>
      </c>
    </row>
    <row r="96" spans="1:11" x14ac:dyDescent="0.25">
      <c r="A96" s="2">
        <v>194</v>
      </c>
      <c r="B96" s="1" t="s">
        <v>235</v>
      </c>
      <c r="C96" s="1" t="s">
        <v>236</v>
      </c>
      <c r="D96" s="3">
        <v>45698</v>
      </c>
      <c r="E96" s="1" t="s">
        <v>97</v>
      </c>
      <c r="F96" s="1" t="s">
        <v>14</v>
      </c>
      <c r="G96" s="2">
        <v>5</v>
      </c>
      <c r="H96" s="1">
        <v>944.54</v>
      </c>
      <c r="I96" s="1" t="s">
        <v>15</v>
      </c>
      <c r="J96" s="1" t="s">
        <v>44</v>
      </c>
      <c r="K96" s="5">
        <f>Table1[[#This Row],[Quantity]]*Table1[[#This Row],[Price]]</f>
        <v>4722.7</v>
      </c>
    </row>
    <row r="97" spans="1:11" x14ac:dyDescent="0.25">
      <c r="A97" s="2">
        <v>195</v>
      </c>
      <c r="B97" s="1" t="s">
        <v>237</v>
      </c>
      <c r="C97" s="1" t="s">
        <v>238</v>
      </c>
      <c r="D97" s="3">
        <v>45827</v>
      </c>
      <c r="E97" s="1" t="s">
        <v>35</v>
      </c>
      <c r="F97" s="1" t="s">
        <v>32</v>
      </c>
      <c r="G97" s="2">
        <v>5</v>
      </c>
      <c r="H97" s="1">
        <v>817.46</v>
      </c>
      <c r="I97" s="1" t="s">
        <v>15</v>
      </c>
      <c r="J97" s="1" t="s">
        <v>44</v>
      </c>
      <c r="K97" s="5">
        <f>Table1[[#This Row],[Quantity]]*Table1[[#This Row],[Price]]</f>
        <v>4087.3</v>
      </c>
    </row>
    <row r="98" spans="1:11" x14ac:dyDescent="0.25">
      <c r="A98" s="2">
        <v>196</v>
      </c>
      <c r="B98" s="1" t="s">
        <v>239</v>
      </c>
      <c r="C98" s="1" t="s">
        <v>240</v>
      </c>
      <c r="D98" s="3">
        <v>45649</v>
      </c>
      <c r="E98" s="1" t="s">
        <v>86</v>
      </c>
      <c r="F98" s="1" t="s">
        <v>14</v>
      </c>
      <c r="G98" s="2">
        <v>0</v>
      </c>
      <c r="H98" s="1">
        <v>0</v>
      </c>
      <c r="I98" s="1" t="s">
        <v>22</v>
      </c>
      <c r="J98" s="1" t="s">
        <v>28</v>
      </c>
      <c r="K98" s="5">
        <f>Table1[[#This Row],[Quantity]]*Table1[[#This Row],[Price]]</f>
        <v>0</v>
      </c>
    </row>
    <row r="99" spans="1:11" x14ac:dyDescent="0.25">
      <c r="A99" s="2">
        <v>197</v>
      </c>
      <c r="B99" s="1" t="s">
        <v>241</v>
      </c>
      <c r="C99" s="1" t="s">
        <v>242</v>
      </c>
      <c r="D99" s="3">
        <v>45831</v>
      </c>
      <c r="E99" s="1" t="s">
        <v>13</v>
      </c>
      <c r="F99" s="1" t="s">
        <v>14</v>
      </c>
      <c r="G99" s="2">
        <v>1</v>
      </c>
      <c r="H99" s="1">
        <v>160.16</v>
      </c>
      <c r="I99" s="1" t="s">
        <v>22</v>
      </c>
      <c r="J99" s="1" t="s">
        <v>38</v>
      </c>
      <c r="K99" s="5">
        <f>Table1[[#This Row],[Quantity]]*Table1[[#This Row],[Price]]</f>
        <v>160.16</v>
      </c>
    </row>
    <row r="100" spans="1:11" x14ac:dyDescent="0.25">
      <c r="A100" s="2">
        <v>198</v>
      </c>
      <c r="B100" s="1" t="s">
        <v>243</v>
      </c>
      <c r="C100" s="1" t="s">
        <v>244</v>
      </c>
      <c r="D100" s="3">
        <v>45865</v>
      </c>
      <c r="E100" s="1" t="s">
        <v>86</v>
      </c>
      <c r="F100" s="1" t="s">
        <v>14</v>
      </c>
      <c r="G100" s="2">
        <v>2</v>
      </c>
      <c r="H100" s="1">
        <v>497.01</v>
      </c>
      <c r="I100" s="1" t="s">
        <v>15</v>
      </c>
      <c r="J100" s="1" t="s">
        <v>16</v>
      </c>
      <c r="K100" s="5">
        <f>Table1[[#This Row],[Quantity]]*Table1[[#This Row],[Price]]</f>
        <v>994.02</v>
      </c>
    </row>
    <row r="101" spans="1:11" x14ac:dyDescent="0.25">
      <c r="A101" s="2">
        <v>199</v>
      </c>
      <c r="B101" s="1" t="s">
        <v>245</v>
      </c>
      <c r="C101" s="1" t="s">
        <v>246</v>
      </c>
      <c r="D101" s="3">
        <v>45679</v>
      </c>
      <c r="E101" s="1" t="s">
        <v>13</v>
      </c>
      <c r="F101" s="1" t="s">
        <v>14</v>
      </c>
      <c r="G101" s="2">
        <v>5</v>
      </c>
      <c r="H101" s="1">
        <v>372.28</v>
      </c>
      <c r="I101" s="1" t="s">
        <v>49</v>
      </c>
      <c r="J101" s="1" t="s">
        <v>16</v>
      </c>
      <c r="K101" s="5">
        <f>Table1[[#This Row],[Quantity]]*Table1[[#This Row],[Price]]</f>
        <v>1861.3999999999999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opLeftCell="A16" workbookViewId="0">
      <selection activeCell="D13" sqref="D13"/>
    </sheetView>
  </sheetViews>
  <sheetFormatPr defaultRowHeight="15" x14ac:dyDescent="0.25"/>
  <cols>
    <col min="4" max="4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</v>
      </c>
      <c r="B2" t="s">
        <v>11</v>
      </c>
      <c r="C2" t="s">
        <v>12</v>
      </c>
      <c r="D2" s="4">
        <v>45618</v>
      </c>
      <c r="E2" t="s">
        <v>13</v>
      </c>
      <c r="F2" t="s">
        <v>14</v>
      </c>
      <c r="G2">
        <v>3</v>
      </c>
      <c r="H2">
        <v>38</v>
      </c>
      <c r="I2" t="s">
        <v>15</v>
      </c>
      <c r="J2" t="s">
        <v>16</v>
      </c>
      <c r="K2">
        <v>114</v>
      </c>
    </row>
    <row r="3" spans="1:11" x14ac:dyDescent="0.25">
      <c r="A3">
        <v>101</v>
      </c>
      <c r="B3" t="s">
        <v>17</v>
      </c>
      <c r="C3" t="s">
        <v>18</v>
      </c>
      <c r="D3" s="4">
        <v>45843</v>
      </c>
      <c r="E3" t="s">
        <v>19</v>
      </c>
      <c r="F3" t="s">
        <v>20</v>
      </c>
      <c r="G3">
        <v>2</v>
      </c>
      <c r="H3" t="s">
        <v>247</v>
      </c>
      <c r="I3" t="s">
        <v>22</v>
      </c>
      <c r="J3" t="s">
        <v>23</v>
      </c>
    </row>
    <row r="4" spans="1:11" x14ac:dyDescent="0.25">
      <c r="A4">
        <v>102</v>
      </c>
      <c r="B4" t="s">
        <v>24</v>
      </c>
      <c r="C4" t="s">
        <v>25</v>
      </c>
      <c r="D4" s="4">
        <v>45649</v>
      </c>
      <c r="E4" t="s">
        <v>26</v>
      </c>
      <c r="F4" t="s">
        <v>27</v>
      </c>
      <c r="G4">
        <v>1</v>
      </c>
      <c r="H4">
        <v>389.05</v>
      </c>
      <c r="I4" t="s">
        <v>22</v>
      </c>
      <c r="J4" t="s">
        <v>28</v>
      </c>
      <c r="K4">
        <v>389.05</v>
      </c>
    </row>
    <row r="5" spans="1:11" x14ac:dyDescent="0.25">
      <c r="A5">
        <v>103</v>
      </c>
      <c r="B5" t="s">
        <v>29</v>
      </c>
      <c r="C5" t="s">
        <v>30</v>
      </c>
      <c r="D5" s="4">
        <v>45735</v>
      </c>
      <c r="E5" t="s">
        <v>31</v>
      </c>
      <c r="F5" t="s">
        <v>32</v>
      </c>
      <c r="G5">
        <v>5</v>
      </c>
      <c r="H5">
        <v>233.92</v>
      </c>
      <c r="I5" t="s">
        <v>22</v>
      </c>
      <c r="J5" t="s">
        <v>23</v>
      </c>
      <c r="K5">
        <v>1169.5999999999999</v>
      </c>
    </row>
    <row r="6" spans="1:11" x14ac:dyDescent="0.25">
      <c r="A6">
        <v>104</v>
      </c>
      <c r="B6" t="s">
        <v>33</v>
      </c>
      <c r="C6" t="s">
        <v>34</v>
      </c>
      <c r="D6" s="4">
        <v>45950</v>
      </c>
      <c r="E6" t="s">
        <v>35</v>
      </c>
      <c r="F6" t="s">
        <v>32</v>
      </c>
      <c r="G6">
        <v>1</v>
      </c>
      <c r="H6">
        <v>552.51</v>
      </c>
      <c r="I6" t="s">
        <v>15</v>
      </c>
      <c r="J6" t="s">
        <v>23</v>
      </c>
      <c r="K6">
        <v>552.51</v>
      </c>
    </row>
    <row r="7" spans="1:11" x14ac:dyDescent="0.25">
      <c r="A7">
        <v>105</v>
      </c>
      <c r="B7" t="s">
        <v>36</v>
      </c>
      <c r="C7" t="s">
        <v>37</v>
      </c>
      <c r="D7" s="4">
        <v>45616</v>
      </c>
      <c r="E7" t="s">
        <v>26</v>
      </c>
      <c r="F7" t="s">
        <v>27</v>
      </c>
      <c r="G7">
        <v>3</v>
      </c>
      <c r="H7">
        <v>122.06</v>
      </c>
      <c r="I7" t="s">
        <v>15</v>
      </c>
      <c r="J7" t="s">
        <v>38</v>
      </c>
      <c r="K7">
        <v>366.18</v>
      </c>
    </row>
    <row r="8" spans="1:11" x14ac:dyDescent="0.25">
      <c r="A8">
        <v>106</v>
      </c>
      <c r="B8" t="s">
        <v>39</v>
      </c>
      <c r="C8" t="s">
        <v>40</v>
      </c>
      <c r="D8" s="4">
        <v>45690</v>
      </c>
      <c r="E8" t="s">
        <v>13</v>
      </c>
      <c r="F8" t="s">
        <v>14</v>
      </c>
      <c r="H8">
        <v>978.63</v>
      </c>
      <c r="I8" t="s">
        <v>41</v>
      </c>
      <c r="J8" t="s">
        <v>23</v>
      </c>
    </row>
    <row r="9" spans="1:11" x14ac:dyDescent="0.25">
      <c r="A9">
        <v>107</v>
      </c>
      <c r="B9" t="s">
        <v>42</v>
      </c>
      <c r="C9" t="s">
        <v>43</v>
      </c>
      <c r="D9" s="4">
        <v>45660</v>
      </c>
      <c r="E9" t="s">
        <v>35</v>
      </c>
      <c r="F9" t="s">
        <v>32</v>
      </c>
      <c r="G9">
        <v>5</v>
      </c>
      <c r="H9">
        <v>587.67999999999995</v>
      </c>
      <c r="I9" t="s">
        <v>22</v>
      </c>
      <c r="J9" t="s">
        <v>44</v>
      </c>
      <c r="K9">
        <v>2938.4</v>
      </c>
    </row>
    <row r="10" spans="1:11" x14ac:dyDescent="0.25">
      <c r="A10">
        <v>108</v>
      </c>
      <c r="B10" t="s">
        <v>45</v>
      </c>
      <c r="C10" t="s">
        <v>46</v>
      </c>
      <c r="D10" s="4">
        <v>45953</v>
      </c>
      <c r="E10" t="s">
        <v>31</v>
      </c>
      <c r="F10" t="s">
        <v>32</v>
      </c>
      <c r="G10">
        <v>1</v>
      </c>
      <c r="H10">
        <v>600.29</v>
      </c>
      <c r="I10" t="s">
        <v>15</v>
      </c>
      <c r="J10" t="s">
        <v>23</v>
      </c>
      <c r="K10">
        <v>600.29</v>
      </c>
    </row>
    <row r="11" spans="1:11" x14ac:dyDescent="0.25">
      <c r="A11">
        <v>109</v>
      </c>
      <c r="B11" t="s">
        <v>47</v>
      </c>
      <c r="C11" t="s">
        <v>48</v>
      </c>
      <c r="D11" s="4">
        <v>45780</v>
      </c>
      <c r="E11" t="s">
        <v>26</v>
      </c>
      <c r="F11" t="s">
        <v>27</v>
      </c>
      <c r="G11">
        <v>5</v>
      </c>
      <c r="H11">
        <v>168.34</v>
      </c>
      <c r="I11" t="s">
        <v>49</v>
      </c>
      <c r="J11" t="s">
        <v>16</v>
      </c>
      <c r="K11">
        <v>841.7</v>
      </c>
    </row>
    <row r="12" spans="1:11" x14ac:dyDescent="0.25">
      <c r="A12">
        <v>110</v>
      </c>
      <c r="B12" t="s">
        <v>50</v>
      </c>
      <c r="C12" t="s">
        <v>51</v>
      </c>
      <c r="D12" s="4">
        <v>45926</v>
      </c>
      <c r="E12" t="s">
        <v>52</v>
      </c>
      <c r="F12" t="s">
        <v>248</v>
      </c>
      <c r="G12">
        <v>5</v>
      </c>
      <c r="H12" t="s">
        <v>249</v>
      </c>
      <c r="I12" t="s">
        <v>15</v>
      </c>
      <c r="J12" t="s">
        <v>38</v>
      </c>
    </row>
    <row r="13" spans="1:11" x14ac:dyDescent="0.25">
      <c r="A13">
        <v>111</v>
      </c>
      <c r="B13" t="s">
        <v>53</v>
      </c>
      <c r="C13" t="s">
        <v>54</v>
      </c>
      <c r="D13" s="4">
        <v>45952</v>
      </c>
      <c r="E13" t="s">
        <v>55</v>
      </c>
      <c r="F13" t="s">
        <v>32</v>
      </c>
      <c r="G13">
        <v>2</v>
      </c>
      <c r="H13">
        <v>865.77</v>
      </c>
      <c r="I13" t="s">
        <v>49</v>
      </c>
      <c r="J13" t="s">
        <v>44</v>
      </c>
      <c r="K13">
        <v>1731.54</v>
      </c>
    </row>
    <row r="14" spans="1:11" x14ac:dyDescent="0.25">
      <c r="A14">
        <v>112</v>
      </c>
      <c r="B14" t="s">
        <v>56</v>
      </c>
      <c r="C14" t="s">
        <v>57</v>
      </c>
      <c r="D14" s="4">
        <v>45718</v>
      </c>
      <c r="E14" t="s">
        <v>58</v>
      </c>
      <c r="F14" t="s">
        <v>59</v>
      </c>
      <c r="G14">
        <v>4</v>
      </c>
      <c r="H14">
        <v>752.13</v>
      </c>
      <c r="I14" t="s">
        <v>41</v>
      </c>
      <c r="J14" t="s">
        <v>28</v>
      </c>
      <c r="K14">
        <v>3008.52</v>
      </c>
    </row>
    <row r="15" spans="1:11" x14ac:dyDescent="0.25">
      <c r="A15">
        <v>113</v>
      </c>
      <c r="B15" t="s">
        <v>60</v>
      </c>
      <c r="C15" t="s">
        <v>61</v>
      </c>
      <c r="D15" s="4">
        <v>45862</v>
      </c>
      <c r="E15" t="s">
        <v>62</v>
      </c>
      <c r="F15" t="s">
        <v>32</v>
      </c>
      <c r="G15">
        <v>1</v>
      </c>
      <c r="H15">
        <v>411.81</v>
      </c>
      <c r="I15" t="s">
        <v>49</v>
      </c>
      <c r="J15" t="s">
        <v>23</v>
      </c>
      <c r="K15">
        <v>411.81</v>
      </c>
    </row>
    <row r="16" spans="1:11" x14ac:dyDescent="0.25">
      <c r="A16">
        <v>114</v>
      </c>
      <c r="B16" t="s">
        <v>63</v>
      </c>
      <c r="C16" t="s">
        <v>64</v>
      </c>
      <c r="D16" t="s">
        <v>250</v>
      </c>
      <c r="E16" t="s">
        <v>19</v>
      </c>
      <c r="F16" t="s">
        <v>20</v>
      </c>
      <c r="G16">
        <v>2</v>
      </c>
      <c r="H16">
        <v>413.13</v>
      </c>
      <c r="I16" t="s">
        <v>15</v>
      </c>
      <c r="J16" t="s">
        <v>16</v>
      </c>
      <c r="K16">
        <v>826.26</v>
      </c>
    </row>
    <row r="17" spans="1:11" x14ac:dyDescent="0.25">
      <c r="A17">
        <v>115</v>
      </c>
      <c r="B17" t="s">
        <v>65</v>
      </c>
      <c r="C17" t="s">
        <v>66</v>
      </c>
      <c r="D17" s="4">
        <v>45667</v>
      </c>
      <c r="E17" t="s">
        <v>62</v>
      </c>
      <c r="F17" t="s">
        <v>32</v>
      </c>
      <c r="G17">
        <v>2</v>
      </c>
      <c r="H17">
        <v>796.84</v>
      </c>
      <c r="I17" t="s">
        <v>15</v>
      </c>
      <c r="J17" t="s">
        <v>44</v>
      </c>
      <c r="K17">
        <v>1115.576</v>
      </c>
    </row>
    <row r="18" spans="1:11" x14ac:dyDescent="0.25">
      <c r="A18">
        <v>116</v>
      </c>
      <c r="B18" t="s">
        <v>67</v>
      </c>
      <c r="C18" t="s">
        <v>68</v>
      </c>
      <c r="D18" s="4">
        <v>45960</v>
      </c>
      <c r="E18" t="s">
        <v>69</v>
      </c>
      <c r="F18" t="s">
        <v>14</v>
      </c>
      <c r="G18">
        <v>4</v>
      </c>
      <c r="I18" t="s">
        <v>15</v>
      </c>
      <c r="J18" t="s">
        <v>23</v>
      </c>
    </row>
    <row r="19" spans="1:11" x14ac:dyDescent="0.25">
      <c r="A19">
        <v>117</v>
      </c>
      <c r="B19" t="s">
        <v>70</v>
      </c>
      <c r="C19" t="s">
        <v>71</v>
      </c>
      <c r="D19" s="4">
        <v>45700</v>
      </c>
      <c r="E19" t="s">
        <v>13</v>
      </c>
      <c r="F19" t="s">
        <v>251</v>
      </c>
      <c r="G19">
        <v>-2</v>
      </c>
      <c r="H19">
        <v>10000</v>
      </c>
      <c r="I19" t="s">
        <v>15</v>
      </c>
      <c r="J19" t="s">
        <v>23</v>
      </c>
      <c r="K19">
        <v>-20000</v>
      </c>
    </row>
    <row r="20" spans="1:11" x14ac:dyDescent="0.25">
      <c r="A20">
        <v>118</v>
      </c>
      <c r="B20" t="s">
        <v>73</v>
      </c>
      <c r="C20" t="s">
        <v>74</v>
      </c>
      <c r="D20" s="4">
        <v>45808</v>
      </c>
      <c r="E20" t="s">
        <v>31</v>
      </c>
      <c r="F20" t="s">
        <v>32</v>
      </c>
      <c r="G20">
        <v>5</v>
      </c>
      <c r="H20">
        <v>247.82</v>
      </c>
      <c r="I20" t="s">
        <v>22</v>
      </c>
      <c r="J20" t="s">
        <v>23</v>
      </c>
      <c r="K20">
        <v>1239.0999999999999</v>
      </c>
    </row>
    <row r="21" spans="1:11" x14ac:dyDescent="0.25">
      <c r="A21">
        <v>119</v>
      </c>
      <c r="B21" t="s">
        <v>75</v>
      </c>
      <c r="C21" t="s">
        <v>76</v>
      </c>
      <c r="D21" s="4">
        <v>45645</v>
      </c>
      <c r="E21" t="s">
        <v>52</v>
      </c>
      <c r="F21" t="s">
        <v>27</v>
      </c>
      <c r="G21">
        <v>4</v>
      </c>
      <c r="H21">
        <v>438.19</v>
      </c>
      <c r="I21" t="s">
        <v>15</v>
      </c>
      <c r="J21" t="s">
        <v>23</v>
      </c>
      <c r="K21">
        <v>1752.76</v>
      </c>
    </row>
    <row r="22" spans="1:11" x14ac:dyDescent="0.25">
      <c r="A22">
        <v>120</v>
      </c>
      <c r="B22" t="s">
        <v>77</v>
      </c>
      <c r="C22" t="s">
        <v>78</v>
      </c>
      <c r="D22" s="4">
        <v>45821</v>
      </c>
      <c r="E22" t="s">
        <v>79</v>
      </c>
      <c r="F22" t="s">
        <v>252</v>
      </c>
      <c r="G22">
        <v>5</v>
      </c>
      <c r="H22" t="s">
        <v>253</v>
      </c>
      <c r="I22" t="s">
        <v>49</v>
      </c>
      <c r="J22" t="s">
        <v>38</v>
      </c>
    </row>
    <row r="23" spans="1:11" x14ac:dyDescent="0.25">
      <c r="A23">
        <v>121</v>
      </c>
      <c r="B23" t="s">
        <v>80</v>
      </c>
      <c r="C23" t="s">
        <v>81</v>
      </c>
      <c r="D23" s="4">
        <v>45941</v>
      </c>
      <c r="E23" t="s">
        <v>52</v>
      </c>
      <c r="F23" t="s">
        <v>27</v>
      </c>
      <c r="G23">
        <v>4</v>
      </c>
      <c r="H23">
        <v>523.01</v>
      </c>
      <c r="I23" t="s">
        <v>49</v>
      </c>
      <c r="J23" t="s">
        <v>28</v>
      </c>
      <c r="K23">
        <v>2092.04</v>
      </c>
    </row>
    <row r="24" spans="1:11" x14ac:dyDescent="0.25">
      <c r="A24">
        <v>122</v>
      </c>
      <c r="B24" t="s">
        <v>82</v>
      </c>
      <c r="C24" t="s">
        <v>83</v>
      </c>
      <c r="D24" s="4">
        <v>45793</v>
      </c>
      <c r="E24" t="s">
        <v>69</v>
      </c>
      <c r="F24" t="s">
        <v>14</v>
      </c>
      <c r="G24">
        <v>2</v>
      </c>
      <c r="H24">
        <v>556.92999999999995</v>
      </c>
      <c r="I24" t="s">
        <v>22</v>
      </c>
      <c r="J24" t="s">
        <v>16</v>
      </c>
      <c r="K24">
        <v>1113.8599999999999</v>
      </c>
    </row>
    <row r="25" spans="1:11" x14ac:dyDescent="0.25">
      <c r="A25">
        <v>123</v>
      </c>
      <c r="B25" t="s">
        <v>84</v>
      </c>
      <c r="C25" t="s">
        <v>85</v>
      </c>
      <c r="D25" s="4">
        <v>45936</v>
      </c>
      <c r="E25" t="s">
        <v>86</v>
      </c>
      <c r="F25" t="s">
        <v>251</v>
      </c>
      <c r="G25">
        <v>3</v>
      </c>
      <c r="H25">
        <v>615.91</v>
      </c>
      <c r="I25" t="s">
        <v>15</v>
      </c>
      <c r="J25" t="s">
        <v>38</v>
      </c>
      <c r="K25">
        <v>1847.73</v>
      </c>
    </row>
    <row r="26" spans="1:11" x14ac:dyDescent="0.25">
      <c r="A26">
        <v>124</v>
      </c>
      <c r="B26" t="s">
        <v>87</v>
      </c>
      <c r="C26" t="s">
        <v>88</v>
      </c>
      <c r="D26" s="4">
        <v>45808</v>
      </c>
      <c r="E26" t="s">
        <v>55</v>
      </c>
      <c r="F26" t="s">
        <v>32</v>
      </c>
      <c r="G26">
        <v>5</v>
      </c>
      <c r="I26" t="s">
        <v>22</v>
      </c>
      <c r="J26" t="s">
        <v>38</v>
      </c>
    </row>
    <row r="27" spans="1:11" x14ac:dyDescent="0.25">
      <c r="A27">
        <v>125</v>
      </c>
      <c r="B27" t="s">
        <v>89</v>
      </c>
      <c r="C27" t="s">
        <v>90</v>
      </c>
      <c r="D27" s="4">
        <v>45697</v>
      </c>
      <c r="E27" t="s">
        <v>55</v>
      </c>
      <c r="F27" t="s">
        <v>32</v>
      </c>
      <c r="G27">
        <v>4</v>
      </c>
      <c r="H27">
        <v>765.69</v>
      </c>
      <c r="I27" t="s">
        <v>22</v>
      </c>
      <c r="J27" t="s">
        <v>16</v>
      </c>
      <c r="K27">
        <v>3062.76</v>
      </c>
    </row>
    <row r="28" spans="1:11" x14ac:dyDescent="0.25">
      <c r="A28">
        <v>126</v>
      </c>
      <c r="B28" t="s">
        <v>91</v>
      </c>
      <c r="C28" t="s">
        <v>92</v>
      </c>
      <c r="D28" s="4">
        <v>45795</v>
      </c>
      <c r="E28" t="s">
        <v>58</v>
      </c>
      <c r="F28" t="s">
        <v>59</v>
      </c>
      <c r="G28">
        <v>4</v>
      </c>
      <c r="H28">
        <v>836.8</v>
      </c>
      <c r="I28" t="s">
        <v>41</v>
      </c>
      <c r="J28" t="s">
        <v>38</v>
      </c>
      <c r="K28">
        <v>3347.2</v>
      </c>
    </row>
    <row r="29" spans="1:11" x14ac:dyDescent="0.25">
      <c r="A29">
        <v>127</v>
      </c>
      <c r="B29" t="s">
        <v>93</v>
      </c>
      <c r="C29" t="s">
        <v>94</v>
      </c>
      <c r="D29" s="4">
        <v>45789</v>
      </c>
      <c r="E29" t="s">
        <v>13</v>
      </c>
      <c r="F29" t="s">
        <v>14</v>
      </c>
      <c r="G29">
        <v>5</v>
      </c>
      <c r="H29">
        <v>336.02</v>
      </c>
      <c r="I29" t="s">
        <v>41</v>
      </c>
      <c r="J29" t="s">
        <v>44</v>
      </c>
      <c r="K29">
        <v>1680.1</v>
      </c>
    </row>
    <row r="30" spans="1:11" x14ac:dyDescent="0.25">
      <c r="A30">
        <v>128</v>
      </c>
      <c r="B30" t="s">
        <v>95</v>
      </c>
      <c r="C30" t="s">
        <v>96</v>
      </c>
      <c r="D30" s="4">
        <v>45606</v>
      </c>
      <c r="E30" t="s">
        <v>97</v>
      </c>
      <c r="F30" t="s">
        <v>254</v>
      </c>
      <c r="G30">
        <v>3</v>
      </c>
      <c r="H30">
        <v>898.69</v>
      </c>
      <c r="I30" t="s">
        <v>41</v>
      </c>
      <c r="J30" t="s">
        <v>28</v>
      </c>
      <c r="K30">
        <v>2696.07</v>
      </c>
    </row>
    <row r="31" spans="1:11" x14ac:dyDescent="0.25">
      <c r="A31">
        <v>129</v>
      </c>
      <c r="B31" t="s">
        <v>98</v>
      </c>
      <c r="C31" t="s">
        <v>99</v>
      </c>
      <c r="D31" s="4">
        <v>45830</v>
      </c>
      <c r="E31" t="s">
        <v>31</v>
      </c>
      <c r="F31" t="s">
        <v>32</v>
      </c>
      <c r="G31">
        <v>4</v>
      </c>
      <c r="H31">
        <v>736.71</v>
      </c>
      <c r="I31" t="s">
        <v>41</v>
      </c>
      <c r="J31" t="s">
        <v>44</v>
      </c>
      <c r="K31">
        <v>2946.84</v>
      </c>
    </row>
    <row r="32" spans="1:11" x14ac:dyDescent="0.25">
      <c r="A32">
        <v>130</v>
      </c>
      <c r="B32" t="s">
        <v>100</v>
      </c>
      <c r="C32" t="s">
        <v>101</v>
      </c>
      <c r="D32" s="4">
        <v>45884</v>
      </c>
      <c r="E32" t="s">
        <v>26</v>
      </c>
      <c r="F32" t="s">
        <v>27</v>
      </c>
      <c r="G32">
        <v>2</v>
      </c>
      <c r="I32" t="s">
        <v>41</v>
      </c>
      <c r="J32" t="s">
        <v>23</v>
      </c>
    </row>
    <row r="33" spans="1:11" x14ac:dyDescent="0.25">
      <c r="A33">
        <v>131</v>
      </c>
      <c r="B33" t="s">
        <v>102</v>
      </c>
      <c r="C33" t="s">
        <v>103</v>
      </c>
      <c r="D33" s="4">
        <v>45819</v>
      </c>
      <c r="E33" t="s">
        <v>97</v>
      </c>
      <c r="F33" t="s">
        <v>14</v>
      </c>
      <c r="G33">
        <v>5</v>
      </c>
      <c r="H33">
        <v>616.63</v>
      </c>
      <c r="I33" t="s">
        <v>22</v>
      </c>
      <c r="J33" t="s">
        <v>16</v>
      </c>
      <c r="K33">
        <v>3083.15</v>
      </c>
    </row>
    <row r="34" spans="1:11" x14ac:dyDescent="0.25">
      <c r="A34">
        <v>132</v>
      </c>
      <c r="B34" t="s">
        <v>104</v>
      </c>
      <c r="C34" t="s">
        <v>105</v>
      </c>
      <c r="D34" s="4">
        <v>45749</v>
      </c>
      <c r="E34" t="s">
        <v>79</v>
      </c>
      <c r="F34" t="s">
        <v>252</v>
      </c>
      <c r="G34">
        <v>1</v>
      </c>
      <c r="H34">
        <v>266.7</v>
      </c>
      <c r="I34" t="s">
        <v>22</v>
      </c>
      <c r="J34" t="s">
        <v>28</v>
      </c>
      <c r="K34">
        <v>266.7</v>
      </c>
    </row>
    <row r="35" spans="1:11" x14ac:dyDescent="0.25">
      <c r="A35">
        <v>133</v>
      </c>
      <c r="B35" t="s">
        <v>106</v>
      </c>
      <c r="C35" t="s">
        <v>107</v>
      </c>
      <c r="D35" s="4">
        <v>45631</v>
      </c>
      <c r="E35" t="s">
        <v>35</v>
      </c>
      <c r="F35" t="s">
        <v>255</v>
      </c>
      <c r="G35">
        <v>5</v>
      </c>
      <c r="H35">
        <v>343.24</v>
      </c>
      <c r="I35" t="s">
        <v>49</v>
      </c>
      <c r="J35" t="s">
        <v>16</v>
      </c>
      <c r="K35">
        <v>1716.2</v>
      </c>
    </row>
    <row r="36" spans="1:11" x14ac:dyDescent="0.25">
      <c r="A36">
        <v>134</v>
      </c>
      <c r="B36" t="s">
        <v>108</v>
      </c>
      <c r="C36" t="s">
        <v>109</v>
      </c>
      <c r="D36" s="4">
        <v>45934</v>
      </c>
      <c r="E36" t="s">
        <v>256</v>
      </c>
      <c r="F36" t="s">
        <v>59</v>
      </c>
      <c r="G36">
        <v>-5</v>
      </c>
      <c r="H36">
        <v>591.53</v>
      </c>
      <c r="I36" t="s">
        <v>22</v>
      </c>
      <c r="J36" t="s">
        <v>16</v>
      </c>
      <c r="K36">
        <v>-2957.65</v>
      </c>
    </row>
    <row r="37" spans="1:11" x14ac:dyDescent="0.25">
      <c r="A37">
        <v>135</v>
      </c>
      <c r="B37" t="s">
        <v>111</v>
      </c>
      <c r="C37" t="s">
        <v>112</v>
      </c>
      <c r="D37" s="4">
        <v>45697</v>
      </c>
      <c r="E37" t="s">
        <v>113</v>
      </c>
      <c r="F37" t="s">
        <v>254</v>
      </c>
      <c r="G37">
        <v>4</v>
      </c>
      <c r="H37">
        <v>446.19</v>
      </c>
      <c r="I37" t="s">
        <v>15</v>
      </c>
      <c r="J37" t="s">
        <v>38</v>
      </c>
      <c r="K37">
        <v>1784.76</v>
      </c>
    </row>
    <row r="38" spans="1:11" x14ac:dyDescent="0.25">
      <c r="A38">
        <v>136</v>
      </c>
      <c r="B38" t="s">
        <v>114</v>
      </c>
      <c r="C38" t="s">
        <v>115</v>
      </c>
      <c r="D38" s="4">
        <v>45820</v>
      </c>
      <c r="E38" t="s">
        <v>116</v>
      </c>
      <c r="G38">
        <v>1</v>
      </c>
      <c r="H38">
        <v>696.71</v>
      </c>
      <c r="I38" t="s">
        <v>49</v>
      </c>
      <c r="J38" t="s">
        <v>28</v>
      </c>
      <c r="K38">
        <v>696.71</v>
      </c>
    </row>
    <row r="39" spans="1:11" x14ac:dyDescent="0.25">
      <c r="A39">
        <v>137</v>
      </c>
      <c r="B39" t="s">
        <v>117</v>
      </c>
      <c r="C39" t="s">
        <v>118</v>
      </c>
      <c r="D39" s="4">
        <v>45711</v>
      </c>
      <c r="E39" t="s">
        <v>86</v>
      </c>
      <c r="F39" t="s">
        <v>14</v>
      </c>
      <c r="G39">
        <v>3</v>
      </c>
      <c r="H39">
        <v>-100</v>
      </c>
      <c r="I39" t="s">
        <v>15</v>
      </c>
      <c r="J39" t="s">
        <v>28</v>
      </c>
      <c r="K39">
        <v>-300</v>
      </c>
    </row>
    <row r="40" spans="1:11" x14ac:dyDescent="0.25">
      <c r="A40">
        <v>138</v>
      </c>
      <c r="B40" t="s">
        <v>119</v>
      </c>
      <c r="C40" t="s">
        <v>120</v>
      </c>
      <c r="D40" s="4">
        <v>45878</v>
      </c>
      <c r="E40" t="s">
        <v>97</v>
      </c>
      <c r="F40" t="s">
        <v>14</v>
      </c>
      <c r="G40">
        <v>1</v>
      </c>
      <c r="H40">
        <v>531.05999999999995</v>
      </c>
      <c r="I40" t="s">
        <v>22</v>
      </c>
      <c r="J40" t="s">
        <v>23</v>
      </c>
      <c r="K40">
        <v>531.05999999999995</v>
      </c>
    </row>
    <row r="41" spans="1:11" x14ac:dyDescent="0.25">
      <c r="A41">
        <v>139</v>
      </c>
      <c r="B41" t="s">
        <v>121</v>
      </c>
      <c r="C41" t="s">
        <v>122</v>
      </c>
      <c r="D41" s="4">
        <v>45697</v>
      </c>
      <c r="E41" t="s">
        <v>19</v>
      </c>
      <c r="F41" t="s">
        <v>20</v>
      </c>
      <c r="G41">
        <v>2</v>
      </c>
      <c r="H41">
        <v>681.38</v>
      </c>
      <c r="I41" t="s">
        <v>49</v>
      </c>
      <c r="J41" t="s">
        <v>38</v>
      </c>
      <c r="K41">
        <v>1362.76</v>
      </c>
    </row>
    <row r="42" spans="1:11" x14ac:dyDescent="0.25">
      <c r="A42">
        <v>140</v>
      </c>
      <c r="B42" t="s">
        <v>123</v>
      </c>
      <c r="C42" t="s">
        <v>124</v>
      </c>
      <c r="D42" s="4">
        <v>45714</v>
      </c>
      <c r="E42" t="s">
        <v>62</v>
      </c>
      <c r="F42" t="s">
        <v>32</v>
      </c>
      <c r="G42">
        <v>4</v>
      </c>
      <c r="H42">
        <v>588.98</v>
      </c>
      <c r="I42" t="s">
        <v>49</v>
      </c>
      <c r="J42" t="s">
        <v>44</v>
      </c>
      <c r="K42">
        <v>2355.92</v>
      </c>
    </row>
    <row r="43" spans="1:11" x14ac:dyDescent="0.25">
      <c r="A43">
        <v>141</v>
      </c>
      <c r="B43" t="s">
        <v>125</v>
      </c>
      <c r="C43" t="s">
        <v>126</v>
      </c>
      <c r="D43" s="4">
        <v>45701</v>
      </c>
      <c r="E43" t="s">
        <v>62</v>
      </c>
      <c r="F43" t="s">
        <v>32</v>
      </c>
      <c r="G43">
        <v>3</v>
      </c>
      <c r="H43">
        <v>546.04</v>
      </c>
      <c r="I43" t="s">
        <v>15</v>
      </c>
      <c r="J43" t="s">
        <v>44</v>
      </c>
      <c r="K43">
        <v>1638.12</v>
      </c>
    </row>
    <row r="44" spans="1:11" x14ac:dyDescent="0.25">
      <c r="A44">
        <v>142</v>
      </c>
      <c r="B44" t="s">
        <v>127</v>
      </c>
      <c r="C44" t="s">
        <v>128</v>
      </c>
      <c r="D44" s="4">
        <v>45960</v>
      </c>
      <c r="E44" t="s">
        <v>58</v>
      </c>
      <c r="F44" t="s">
        <v>59</v>
      </c>
      <c r="G44">
        <v>5</v>
      </c>
      <c r="H44">
        <v>645.26</v>
      </c>
      <c r="I44" t="s">
        <v>49</v>
      </c>
      <c r="J44" t="s">
        <v>16</v>
      </c>
      <c r="K44">
        <v>2258.41</v>
      </c>
    </row>
    <row r="45" spans="1:11" x14ac:dyDescent="0.25">
      <c r="A45">
        <v>143</v>
      </c>
      <c r="B45" t="s">
        <v>129</v>
      </c>
      <c r="C45" t="s">
        <v>130</v>
      </c>
      <c r="D45" s="4">
        <v>45849</v>
      </c>
      <c r="E45" t="s">
        <v>256</v>
      </c>
      <c r="F45" t="s">
        <v>59</v>
      </c>
      <c r="G45">
        <v>5</v>
      </c>
      <c r="H45">
        <v>826.77</v>
      </c>
      <c r="I45" t="s">
        <v>41</v>
      </c>
      <c r="J45" t="s">
        <v>38</v>
      </c>
      <c r="K45">
        <v>4133.8500000000004</v>
      </c>
    </row>
    <row r="46" spans="1:11" x14ac:dyDescent="0.25">
      <c r="A46">
        <v>144</v>
      </c>
      <c r="B46" t="s">
        <v>131</v>
      </c>
      <c r="C46" t="s">
        <v>132</v>
      </c>
      <c r="D46" s="4">
        <v>45684</v>
      </c>
      <c r="E46" t="s">
        <v>133</v>
      </c>
      <c r="F46" t="s">
        <v>27</v>
      </c>
      <c r="G46">
        <v>5</v>
      </c>
      <c r="H46">
        <v>849.07</v>
      </c>
      <c r="I46" t="s">
        <v>41</v>
      </c>
      <c r="J46" t="s">
        <v>23</v>
      </c>
      <c r="K46">
        <v>4245.3500000000004</v>
      </c>
    </row>
    <row r="47" spans="1:11" x14ac:dyDescent="0.25">
      <c r="A47">
        <v>145</v>
      </c>
      <c r="B47" t="s">
        <v>134</v>
      </c>
      <c r="C47" t="s">
        <v>135</v>
      </c>
      <c r="D47" s="4">
        <v>45047</v>
      </c>
      <c r="E47" t="s">
        <v>136</v>
      </c>
      <c r="F47" t="s">
        <v>20</v>
      </c>
      <c r="G47">
        <v>2</v>
      </c>
      <c r="H47">
        <v>860.99</v>
      </c>
      <c r="I47" t="s">
        <v>41</v>
      </c>
      <c r="J47" t="s">
        <v>44</v>
      </c>
      <c r="K47">
        <v>1721.98</v>
      </c>
    </row>
    <row r="48" spans="1:11" x14ac:dyDescent="0.25">
      <c r="A48">
        <v>146</v>
      </c>
      <c r="B48" t="s">
        <v>137</v>
      </c>
      <c r="C48" t="s">
        <v>138</v>
      </c>
      <c r="D48" s="4">
        <v>45847</v>
      </c>
      <c r="E48" t="s">
        <v>52</v>
      </c>
      <c r="F48" t="s">
        <v>251</v>
      </c>
      <c r="G48">
        <v>2</v>
      </c>
      <c r="H48">
        <v>705.42</v>
      </c>
      <c r="I48" t="s">
        <v>41</v>
      </c>
      <c r="J48" t="s">
        <v>23</v>
      </c>
      <c r="K48">
        <v>1410.84</v>
      </c>
    </row>
    <row r="49" spans="1:11" x14ac:dyDescent="0.25">
      <c r="A49">
        <v>147</v>
      </c>
      <c r="B49" t="s">
        <v>139</v>
      </c>
      <c r="C49" t="s">
        <v>140</v>
      </c>
      <c r="D49" s="4">
        <v>45778</v>
      </c>
      <c r="E49" t="s">
        <v>141</v>
      </c>
      <c r="F49" t="s">
        <v>59</v>
      </c>
      <c r="G49">
        <v>4</v>
      </c>
      <c r="H49">
        <v>596.15</v>
      </c>
      <c r="I49" t="s">
        <v>15</v>
      </c>
      <c r="J49" t="s">
        <v>16</v>
      </c>
      <c r="K49">
        <v>2384.6</v>
      </c>
    </row>
    <row r="50" spans="1:11" x14ac:dyDescent="0.25">
      <c r="A50">
        <v>148</v>
      </c>
      <c r="B50" t="s">
        <v>142</v>
      </c>
      <c r="C50" t="s">
        <v>143</v>
      </c>
      <c r="D50" s="4">
        <v>45729</v>
      </c>
      <c r="E50" t="s">
        <v>26</v>
      </c>
      <c r="F50" t="s">
        <v>27</v>
      </c>
      <c r="G50">
        <v>1</v>
      </c>
      <c r="H50">
        <v>660.98</v>
      </c>
      <c r="I50" t="s">
        <v>15</v>
      </c>
      <c r="J50" t="s">
        <v>44</v>
      </c>
      <c r="K50">
        <v>660.98</v>
      </c>
    </row>
    <row r="51" spans="1:11" x14ac:dyDescent="0.25">
      <c r="A51">
        <v>149</v>
      </c>
      <c r="B51" t="s">
        <v>144</v>
      </c>
      <c r="C51" t="s">
        <v>145</v>
      </c>
      <c r="D51" s="4">
        <v>45837</v>
      </c>
      <c r="E51" t="s">
        <v>55</v>
      </c>
      <c r="F51" t="s">
        <v>32</v>
      </c>
      <c r="G51">
        <v>5</v>
      </c>
      <c r="H51">
        <v>896.38</v>
      </c>
      <c r="I51" t="s">
        <v>41</v>
      </c>
      <c r="J51" t="s">
        <v>38</v>
      </c>
      <c r="K51">
        <v>4481.8999999999996</v>
      </c>
    </row>
    <row r="52" spans="1:11" x14ac:dyDescent="0.25">
      <c r="A52">
        <v>150</v>
      </c>
      <c r="B52" t="s">
        <v>146</v>
      </c>
      <c r="C52" t="s">
        <v>147</v>
      </c>
      <c r="D52" s="4">
        <v>45623</v>
      </c>
      <c r="E52" t="s">
        <v>79</v>
      </c>
      <c r="F52" t="s">
        <v>27</v>
      </c>
      <c r="G52">
        <v>1</v>
      </c>
      <c r="H52">
        <v>206.19</v>
      </c>
      <c r="I52" t="s">
        <v>49</v>
      </c>
      <c r="J52" t="s">
        <v>44</v>
      </c>
      <c r="K52">
        <v>206.19</v>
      </c>
    </row>
    <row r="53" spans="1:11" x14ac:dyDescent="0.25">
      <c r="A53">
        <v>151</v>
      </c>
      <c r="B53" t="s">
        <v>148</v>
      </c>
      <c r="C53" t="s">
        <v>149</v>
      </c>
      <c r="D53" s="4">
        <v>45839</v>
      </c>
      <c r="E53" t="s">
        <v>55</v>
      </c>
      <c r="F53" t="s">
        <v>32</v>
      </c>
      <c r="G53">
        <v>2</v>
      </c>
      <c r="H53">
        <v>457.16</v>
      </c>
      <c r="I53" t="s">
        <v>22</v>
      </c>
      <c r="J53" t="s">
        <v>23</v>
      </c>
      <c r="K53">
        <v>640.024</v>
      </c>
    </row>
    <row r="54" spans="1:11" x14ac:dyDescent="0.25">
      <c r="A54">
        <v>152</v>
      </c>
      <c r="B54" t="s">
        <v>150</v>
      </c>
      <c r="C54" t="s">
        <v>151</v>
      </c>
      <c r="D54" s="4">
        <v>45922</v>
      </c>
      <c r="E54" t="s">
        <v>97</v>
      </c>
      <c r="F54" t="s">
        <v>14</v>
      </c>
      <c r="G54">
        <v>3</v>
      </c>
      <c r="H54">
        <v>233.11</v>
      </c>
      <c r="I54" t="s">
        <v>22</v>
      </c>
      <c r="J54" t="s">
        <v>44</v>
      </c>
      <c r="K54">
        <v>699.33</v>
      </c>
    </row>
    <row r="55" spans="1:11" x14ac:dyDescent="0.25">
      <c r="A55">
        <v>153</v>
      </c>
      <c r="B55" t="s">
        <v>152</v>
      </c>
      <c r="C55" t="s">
        <v>153</v>
      </c>
      <c r="D55" s="4">
        <v>45854</v>
      </c>
      <c r="E55" t="s">
        <v>79</v>
      </c>
      <c r="F55" t="s">
        <v>27</v>
      </c>
      <c r="G55">
        <v>4</v>
      </c>
      <c r="H55">
        <v>278.89999999999998</v>
      </c>
      <c r="I55" t="s">
        <v>15</v>
      </c>
      <c r="J55" t="s">
        <v>23</v>
      </c>
      <c r="K55">
        <v>1115.5999999999999</v>
      </c>
    </row>
    <row r="56" spans="1:11" x14ac:dyDescent="0.25">
      <c r="A56">
        <v>154</v>
      </c>
      <c r="B56" t="s">
        <v>154</v>
      </c>
      <c r="C56" t="s">
        <v>155</v>
      </c>
      <c r="D56" s="4">
        <v>45709</v>
      </c>
      <c r="E56" t="s">
        <v>13</v>
      </c>
      <c r="F56" t="s">
        <v>14</v>
      </c>
      <c r="G56">
        <v>5</v>
      </c>
      <c r="H56">
        <v>789.64</v>
      </c>
      <c r="I56" t="s">
        <v>15</v>
      </c>
      <c r="J56" t="s">
        <v>38</v>
      </c>
      <c r="K56">
        <v>3948.2</v>
      </c>
    </row>
    <row r="57" spans="1:11" x14ac:dyDescent="0.25">
      <c r="A57">
        <v>155</v>
      </c>
      <c r="B57" t="s">
        <v>156</v>
      </c>
      <c r="C57" t="s">
        <v>157</v>
      </c>
      <c r="D57" s="4">
        <v>45778</v>
      </c>
      <c r="E57" t="s">
        <v>257</v>
      </c>
      <c r="F57" t="s">
        <v>59</v>
      </c>
      <c r="G57">
        <v>1</v>
      </c>
      <c r="H57">
        <v>40.950000000000003</v>
      </c>
      <c r="I57" t="s">
        <v>22</v>
      </c>
      <c r="J57" t="s">
        <v>44</v>
      </c>
      <c r="K57">
        <v>40.950000000000003</v>
      </c>
    </row>
    <row r="58" spans="1:11" x14ac:dyDescent="0.25">
      <c r="A58">
        <v>156</v>
      </c>
      <c r="B58" t="s">
        <v>158</v>
      </c>
      <c r="C58" t="s">
        <v>159</v>
      </c>
      <c r="D58" s="4">
        <v>45624</v>
      </c>
      <c r="E58" t="s">
        <v>160</v>
      </c>
      <c r="F58" t="s">
        <v>59</v>
      </c>
      <c r="G58">
        <v>2</v>
      </c>
      <c r="I58" t="s">
        <v>41</v>
      </c>
      <c r="J58" t="s">
        <v>16</v>
      </c>
    </row>
    <row r="59" spans="1:11" x14ac:dyDescent="0.25">
      <c r="A59">
        <v>157</v>
      </c>
      <c r="B59" t="s">
        <v>161</v>
      </c>
      <c r="C59" t="s">
        <v>162</v>
      </c>
      <c r="D59" s="4">
        <v>45967</v>
      </c>
      <c r="E59" t="s">
        <v>141</v>
      </c>
      <c r="F59" t="s">
        <v>59</v>
      </c>
      <c r="G59">
        <v>4</v>
      </c>
      <c r="H59">
        <v>275.10000000000002</v>
      </c>
      <c r="I59" t="s">
        <v>41</v>
      </c>
      <c r="J59" t="s">
        <v>23</v>
      </c>
      <c r="K59">
        <v>1100.4000000000001</v>
      </c>
    </row>
    <row r="60" spans="1:11" x14ac:dyDescent="0.25">
      <c r="A60">
        <v>158</v>
      </c>
      <c r="B60" t="s">
        <v>163</v>
      </c>
      <c r="C60" t="s">
        <v>164</v>
      </c>
      <c r="D60" s="4">
        <v>45752</v>
      </c>
      <c r="E60" t="s">
        <v>113</v>
      </c>
      <c r="F60" t="s">
        <v>20</v>
      </c>
      <c r="G60">
        <v>1</v>
      </c>
      <c r="H60">
        <v>933.58</v>
      </c>
      <c r="I60" t="s">
        <v>15</v>
      </c>
      <c r="J60" t="s">
        <v>16</v>
      </c>
      <c r="K60">
        <v>933.58</v>
      </c>
    </row>
    <row r="61" spans="1:11" x14ac:dyDescent="0.25">
      <c r="A61">
        <v>159</v>
      </c>
      <c r="B61" t="s">
        <v>165</v>
      </c>
      <c r="C61" t="s">
        <v>166</v>
      </c>
      <c r="D61" s="4">
        <v>45866</v>
      </c>
      <c r="E61" t="s">
        <v>69</v>
      </c>
      <c r="F61" t="s">
        <v>14</v>
      </c>
      <c r="G61">
        <v>3</v>
      </c>
      <c r="H61">
        <v>163.16</v>
      </c>
      <c r="I61" t="s">
        <v>22</v>
      </c>
      <c r="J61" t="s">
        <v>16</v>
      </c>
      <c r="K61">
        <v>489.48</v>
      </c>
    </row>
    <row r="62" spans="1:11" x14ac:dyDescent="0.25">
      <c r="A62">
        <v>160</v>
      </c>
      <c r="B62" t="s">
        <v>167</v>
      </c>
      <c r="C62" t="s">
        <v>168</v>
      </c>
      <c r="D62" s="4">
        <v>45660</v>
      </c>
      <c r="E62" t="s">
        <v>31</v>
      </c>
      <c r="F62" t="s">
        <v>32</v>
      </c>
      <c r="G62">
        <v>5</v>
      </c>
      <c r="H62">
        <v>242.52</v>
      </c>
      <c r="I62" t="s">
        <v>15</v>
      </c>
      <c r="J62" t="s">
        <v>44</v>
      </c>
      <c r="K62">
        <v>1212.5999999999999</v>
      </c>
    </row>
    <row r="63" spans="1:11" x14ac:dyDescent="0.25">
      <c r="A63">
        <v>161</v>
      </c>
      <c r="B63" t="s">
        <v>169</v>
      </c>
      <c r="C63" t="s">
        <v>170</v>
      </c>
      <c r="D63" s="4">
        <v>45641</v>
      </c>
      <c r="E63" t="s">
        <v>31</v>
      </c>
      <c r="F63" t="s">
        <v>32</v>
      </c>
      <c r="G63">
        <v>4</v>
      </c>
      <c r="H63">
        <v>209.32</v>
      </c>
      <c r="I63" t="s">
        <v>41</v>
      </c>
      <c r="J63" t="s">
        <v>16</v>
      </c>
      <c r="K63">
        <v>837.28</v>
      </c>
    </row>
    <row r="64" spans="1:11" x14ac:dyDescent="0.25">
      <c r="A64">
        <v>162</v>
      </c>
      <c r="B64" t="s">
        <v>171</v>
      </c>
      <c r="C64" t="s">
        <v>172</v>
      </c>
      <c r="D64" s="4">
        <v>45796</v>
      </c>
      <c r="E64" t="s">
        <v>13</v>
      </c>
      <c r="F64" t="s">
        <v>14</v>
      </c>
      <c r="G64">
        <v>2</v>
      </c>
      <c r="H64">
        <v>155.76</v>
      </c>
      <c r="I64" t="s">
        <v>49</v>
      </c>
      <c r="J64" t="s">
        <v>44</v>
      </c>
      <c r="K64">
        <v>311.52</v>
      </c>
    </row>
    <row r="65" spans="1:11" x14ac:dyDescent="0.25">
      <c r="A65">
        <v>163</v>
      </c>
      <c r="B65" t="s">
        <v>173</v>
      </c>
      <c r="C65" t="s">
        <v>174</v>
      </c>
      <c r="D65" s="4">
        <v>44931</v>
      </c>
      <c r="E65" t="s">
        <v>113</v>
      </c>
      <c r="F65" t="s">
        <v>20</v>
      </c>
      <c r="G65">
        <v>3</v>
      </c>
      <c r="H65">
        <v>235.26</v>
      </c>
      <c r="I65" t="s">
        <v>15</v>
      </c>
      <c r="J65" t="s">
        <v>16</v>
      </c>
      <c r="K65">
        <v>705.78</v>
      </c>
    </row>
    <row r="66" spans="1:11" x14ac:dyDescent="0.25">
      <c r="A66">
        <v>164</v>
      </c>
      <c r="B66" t="s">
        <v>175</v>
      </c>
      <c r="C66" t="s">
        <v>176</v>
      </c>
      <c r="D66" s="4">
        <v>45697</v>
      </c>
      <c r="E66" t="s">
        <v>26</v>
      </c>
      <c r="F66" t="s">
        <v>27</v>
      </c>
      <c r="H66">
        <v>587.64</v>
      </c>
      <c r="I66" t="s">
        <v>49</v>
      </c>
      <c r="J66" t="s">
        <v>44</v>
      </c>
    </row>
    <row r="67" spans="1:11" x14ac:dyDescent="0.25">
      <c r="A67">
        <v>165</v>
      </c>
      <c r="B67" t="s">
        <v>177</v>
      </c>
      <c r="C67" t="s">
        <v>178</v>
      </c>
      <c r="D67" s="4">
        <v>45604</v>
      </c>
      <c r="E67" t="s">
        <v>58</v>
      </c>
      <c r="F67" t="s">
        <v>59</v>
      </c>
      <c r="G67">
        <v>2</v>
      </c>
      <c r="H67">
        <v>443.13</v>
      </c>
      <c r="I67" t="s">
        <v>49</v>
      </c>
      <c r="J67" t="s">
        <v>28</v>
      </c>
      <c r="K67">
        <v>886.26</v>
      </c>
    </row>
    <row r="68" spans="1:11" x14ac:dyDescent="0.25">
      <c r="A68">
        <v>166</v>
      </c>
      <c r="B68" t="s">
        <v>179</v>
      </c>
      <c r="C68" t="s">
        <v>180</v>
      </c>
      <c r="D68" s="4">
        <v>45841</v>
      </c>
      <c r="E68" t="s">
        <v>256</v>
      </c>
      <c r="F68" t="s">
        <v>254</v>
      </c>
      <c r="G68">
        <v>2</v>
      </c>
      <c r="H68">
        <v>569.38</v>
      </c>
      <c r="I68" t="s">
        <v>15</v>
      </c>
      <c r="J68" t="s">
        <v>16</v>
      </c>
      <c r="K68">
        <v>1138.76</v>
      </c>
    </row>
    <row r="69" spans="1:11" x14ac:dyDescent="0.25">
      <c r="A69">
        <v>167</v>
      </c>
      <c r="B69" t="s">
        <v>181</v>
      </c>
      <c r="C69" t="s">
        <v>182</v>
      </c>
      <c r="D69" s="4">
        <v>45876</v>
      </c>
      <c r="E69" t="s">
        <v>52</v>
      </c>
      <c r="F69" t="s">
        <v>27</v>
      </c>
      <c r="H69">
        <v>593.92999999999995</v>
      </c>
      <c r="I69" t="s">
        <v>15</v>
      </c>
      <c r="J69" t="s">
        <v>23</v>
      </c>
    </row>
    <row r="70" spans="1:11" x14ac:dyDescent="0.25">
      <c r="A70">
        <v>168</v>
      </c>
      <c r="B70" t="s">
        <v>183</v>
      </c>
      <c r="C70" t="s">
        <v>184</v>
      </c>
      <c r="D70" s="4">
        <v>45965</v>
      </c>
      <c r="E70" t="s">
        <v>35</v>
      </c>
      <c r="F70" t="s">
        <v>32</v>
      </c>
      <c r="G70">
        <v>2</v>
      </c>
      <c r="H70">
        <v>141.49</v>
      </c>
      <c r="I70" t="s">
        <v>22</v>
      </c>
      <c r="J70" t="s">
        <v>38</v>
      </c>
      <c r="K70">
        <v>282.98</v>
      </c>
    </row>
    <row r="71" spans="1:11" x14ac:dyDescent="0.25">
      <c r="A71">
        <v>169</v>
      </c>
      <c r="B71" t="s">
        <v>185</v>
      </c>
      <c r="C71" t="s">
        <v>186</v>
      </c>
      <c r="D71" s="4">
        <v>45881</v>
      </c>
      <c r="E71" t="s">
        <v>52</v>
      </c>
      <c r="F71" t="s">
        <v>27</v>
      </c>
      <c r="G71">
        <v>1</v>
      </c>
      <c r="H71">
        <v>582.13</v>
      </c>
      <c r="I71" t="s">
        <v>49</v>
      </c>
      <c r="J71" t="s">
        <v>44</v>
      </c>
      <c r="K71">
        <v>582.13</v>
      </c>
    </row>
    <row r="72" spans="1:11" x14ac:dyDescent="0.25">
      <c r="A72">
        <v>170</v>
      </c>
      <c r="B72" t="s">
        <v>187</v>
      </c>
      <c r="C72" t="s">
        <v>188</v>
      </c>
      <c r="D72" s="4">
        <v>45933</v>
      </c>
      <c r="E72" t="s">
        <v>160</v>
      </c>
      <c r="F72" t="s">
        <v>59</v>
      </c>
      <c r="G72">
        <v>5</v>
      </c>
      <c r="H72">
        <v>741.63</v>
      </c>
      <c r="I72" t="s">
        <v>41</v>
      </c>
      <c r="J72" t="s">
        <v>23</v>
      </c>
      <c r="K72">
        <v>3708.15</v>
      </c>
    </row>
    <row r="73" spans="1:11" x14ac:dyDescent="0.25">
      <c r="A73">
        <v>171</v>
      </c>
      <c r="B73" t="s">
        <v>189</v>
      </c>
      <c r="C73" t="s">
        <v>190</v>
      </c>
      <c r="D73" s="4">
        <v>45632</v>
      </c>
      <c r="E73" t="s">
        <v>58</v>
      </c>
      <c r="F73" t="s">
        <v>59</v>
      </c>
      <c r="G73">
        <v>3</v>
      </c>
      <c r="H73">
        <v>688.68</v>
      </c>
      <c r="I73" t="s">
        <v>22</v>
      </c>
      <c r="J73" t="s">
        <v>23</v>
      </c>
      <c r="K73">
        <v>2066.04</v>
      </c>
    </row>
    <row r="74" spans="1:11" x14ac:dyDescent="0.25">
      <c r="A74">
        <v>172</v>
      </c>
      <c r="B74" t="s">
        <v>191</v>
      </c>
      <c r="C74" t="s">
        <v>192</v>
      </c>
      <c r="D74" s="4">
        <v>45614</v>
      </c>
      <c r="E74" t="s">
        <v>55</v>
      </c>
      <c r="F74" t="s">
        <v>32</v>
      </c>
      <c r="G74">
        <v>2</v>
      </c>
      <c r="H74">
        <v>942.76</v>
      </c>
      <c r="I74" t="s">
        <v>41</v>
      </c>
      <c r="J74" t="s">
        <v>44</v>
      </c>
      <c r="K74">
        <v>1885.52</v>
      </c>
    </row>
    <row r="75" spans="1:11" x14ac:dyDescent="0.25">
      <c r="A75">
        <v>173</v>
      </c>
      <c r="B75" t="s">
        <v>193</v>
      </c>
      <c r="C75" t="s">
        <v>194</v>
      </c>
      <c r="D75" s="4">
        <v>45941</v>
      </c>
      <c r="E75" t="s">
        <v>97</v>
      </c>
      <c r="F75" t="s">
        <v>14</v>
      </c>
      <c r="G75">
        <v>5</v>
      </c>
      <c r="H75">
        <v>351.89</v>
      </c>
      <c r="I75" t="s">
        <v>49</v>
      </c>
      <c r="J75" t="s">
        <v>16</v>
      </c>
      <c r="K75">
        <v>1759.45</v>
      </c>
    </row>
    <row r="76" spans="1:11" x14ac:dyDescent="0.25">
      <c r="A76">
        <v>174</v>
      </c>
      <c r="B76" t="s">
        <v>195</v>
      </c>
      <c r="C76" t="s">
        <v>196</v>
      </c>
      <c r="D76" s="4">
        <v>45920</v>
      </c>
      <c r="E76" t="s">
        <v>69</v>
      </c>
      <c r="F76" t="s">
        <v>252</v>
      </c>
      <c r="G76">
        <v>4</v>
      </c>
      <c r="H76">
        <v>187.48</v>
      </c>
      <c r="I76" t="s">
        <v>49</v>
      </c>
      <c r="J76" t="s">
        <v>44</v>
      </c>
      <c r="K76">
        <v>749.92</v>
      </c>
    </row>
    <row r="77" spans="1:11" x14ac:dyDescent="0.25">
      <c r="A77">
        <v>175</v>
      </c>
      <c r="B77" t="s">
        <v>197</v>
      </c>
      <c r="C77" t="s">
        <v>198</v>
      </c>
      <c r="D77" s="4">
        <v>45712</v>
      </c>
      <c r="E77" t="s">
        <v>116</v>
      </c>
      <c r="F77" t="s">
        <v>20</v>
      </c>
      <c r="G77">
        <v>1</v>
      </c>
      <c r="H77">
        <v>111.36</v>
      </c>
      <c r="I77" t="s">
        <v>49</v>
      </c>
      <c r="J77" t="s">
        <v>23</v>
      </c>
      <c r="K77">
        <v>111.36</v>
      </c>
    </row>
    <row r="78" spans="1:11" x14ac:dyDescent="0.25">
      <c r="A78">
        <v>176</v>
      </c>
      <c r="B78" t="s">
        <v>199</v>
      </c>
      <c r="C78" t="s">
        <v>200</v>
      </c>
      <c r="D78" s="4">
        <v>45860</v>
      </c>
      <c r="E78" t="s">
        <v>55</v>
      </c>
      <c r="F78" t="s">
        <v>32</v>
      </c>
      <c r="G78">
        <v>5</v>
      </c>
      <c r="H78">
        <v>530.52</v>
      </c>
      <c r="I78" t="s">
        <v>15</v>
      </c>
      <c r="J78" t="s">
        <v>16</v>
      </c>
      <c r="K78">
        <v>2652.6</v>
      </c>
    </row>
    <row r="79" spans="1:11" x14ac:dyDescent="0.25">
      <c r="A79">
        <v>177</v>
      </c>
      <c r="B79" t="s">
        <v>201</v>
      </c>
      <c r="C79" t="s">
        <v>202</v>
      </c>
      <c r="D79" s="4">
        <v>45866</v>
      </c>
      <c r="E79" t="s">
        <v>136</v>
      </c>
      <c r="F79" t="s">
        <v>20</v>
      </c>
      <c r="G79">
        <v>1</v>
      </c>
      <c r="H79">
        <v>69.48</v>
      </c>
      <c r="I79" t="s">
        <v>41</v>
      </c>
      <c r="J79" t="s">
        <v>44</v>
      </c>
      <c r="K79">
        <v>69.48</v>
      </c>
    </row>
    <row r="80" spans="1:11" x14ac:dyDescent="0.25">
      <c r="A80">
        <v>178</v>
      </c>
      <c r="B80" t="s">
        <v>203</v>
      </c>
      <c r="C80" t="s">
        <v>204</v>
      </c>
      <c r="D80" s="4">
        <v>45918</v>
      </c>
      <c r="E80" t="s">
        <v>26</v>
      </c>
      <c r="F80" t="s">
        <v>27</v>
      </c>
      <c r="G80">
        <v>3</v>
      </c>
      <c r="H80">
        <v>472.14</v>
      </c>
      <c r="I80" t="s">
        <v>22</v>
      </c>
      <c r="J80" t="s">
        <v>44</v>
      </c>
      <c r="K80">
        <v>1416.42</v>
      </c>
    </row>
    <row r="81" spans="1:11" x14ac:dyDescent="0.25">
      <c r="A81">
        <v>179</v>
      </c>
      <c r="B81" t="s">
        <v>205</v>
      </c>
      <c r="C81" t="s">
        <v>206</v>
      </c>
      <c r="D81" s="4">
        <v>45903</v>
      </c>
      <c r="E81" t="s">
        <v>79</v>
      </c>
      <c r="F81" t="s">
        <v>27</v>
      </c>
      <c r="G81">
        <v>3</v>
      </c>
      <c r="H81">
        <v>868.67</v>
      </c>
      <c r="I81" t="s">
        <v>22</v>
      </c>
      <c r="J81" t="s">
        <v>28</v>
      </c>
      <c r="K81">
        <v>2606.0100000000002</v>
      </c>
    </row>
    <row r="82" spans="1:11" x14ac:dyDescent="0.25">
      <c r="A82">
        <v>180</v>
      </c>
      <c r="B82" t="s">
        <v>207</v>
      </c>
      <c r="C82" t="s">
        <v>208</v>
      </c>
      <c r="D82" s="4">
        <v>45742</v>
      </c>
      <c r="E82" t="s">
        <v>136</v>
      </c>
      <c r="G82">
        <v>2</v>
      </c>
      <c r="H82">
        <v>418.38</v>
      </c>
      <c r="I82" t="s">
        <v>49</v>
      </c>
      <c r="J82" t="s">
        <v>23</v>
      </c>
      <c r="K82">
        <v>836.76</v>
      </c>
    </row>
    <row r="83" spans="1:11" x14ac:dyDescent="0.25">
      <c r="A83">
        <v>181</v>
      </c>
      <c r="B83" t="s">
        <v>209</v>
      </c>
      <c r="C83" t="s">
        <v>210</v>
      </c>
      <c r="D83" s="4">
        <v>45655</v>
      </c>
      <c r="E83" t="s">
        <v>19</v>
      </c>
      <c r="F83" t="s">
        <v>255</v>
      </c>
      <c r="G83">
        <v>1</v>
      </c>
      <c r="H83">
        <v>266.48</v>
      </c>
      <c r="I83" t="s">
        <v>15</v>
      </c>
      <c r="J83" t="s">
        <v>38</v>
      </c>
      <c r="K83">
        <v>266.48</v>
      </c>
    </row>
    <row r="84" spans="1:11" x14ac:dyDescent="0.25">
      <c r="A84">
        <v>182</v>
      </c>
      <c r="B84" t="s">
        <v>211</v>
      </c>
      <c r="C84" t="s">
        <v>212</v>
      </c>
      <c r="D84" s="4">
        <v>45872</v>
      </c>
      <c r="E84" t="s">
        <v>58</v>
      </c>
      <c r="G84">
        <v>4</v>
      </c>
      <c r="H84">
        <v>538.35</v>
      </c>
      <c r="I84" t="s">
        <v>22</v>
      </c>
      <c r="J84" t="s">
        <v>23</v>
      </c>
      <c r="K84">
        <v>2153.4</v>
      </c>
    </row>
    <row r="85" spans="1:11" x14ac:dyDescent="0.25">
      <c r="A85">
        <v>183</v>
      </c>
      <c r="B85" t="s">
        <v>213</v>
      </c>
      <c r="C85" t="s">
        <v>214</v>
      </c>
      <c r="D85" s="4">
        <v>45726</v>
      </c>
      <c r="E85" t="s">
        <v>58</v>
      </c>
      <c r="F85" t="s">
        <v>59</v>
      </c>
      <c r="G85">
        <v>5</v>
      </c>
      <c r="I85" t="s">
        <v>15</v>
      </c>
      <c r="J85" t="s">
        <v>44</v>
      </c>
    </row>
    <row r="86" spans="1:11" x14ac:dyDescent="0.25">
      <c r="A86">
        <v>184</v>
      </c>
      <c r="B86" t="s">
        <v>215</v>
      </c>
      <c r="C86" t="s">
        <v>216</v>
      </c>
      <c r="D86" s="4">
        <v>45703</v>
      </c>
      <c r="E86" t="s">
        <v>160</v>
      </c>
      <c r="G86">
        <v>4</v>
      </c>
      <c r="H86">
        <v>101.19</v>
      </c>
      <c r="I86" t="s">
        <v>41</v>
      </c>
      <c r="J86" t="s">
        <v>23</v>
      </c>
      <c r="K86">
        <v>404.76</v>
      </c>
    </row>
    <row r="87" spans="1:11" x14ac:dyDescent="0.25">
      <c r="A87">
        <v>185</v>
      </c>
      <c r="B87" t="s">
        <v>217</v>
      </c>
      <c r="C87" t="s">
        <v>218</v>
      </c>
      <c r="D87" s="4">
        <v>45883</v>
      </c>
      <c r="E87" t="s">
        <v>133</v>
      </c>
      <c r="F87" t="s">
        <v>27</v>
      </c>
      <c r="G87">
        <v>2</v>
      </c>
      <c r="H87">
        <v>730.92</v>
      </c>
      <c r="I87" t="s">
        <v>15</v>
      </c>
      <c r="J87" t="s">
        <v>38</v>
      </c>
      <c r="K87">
        <v>1023.288</v>
      </c>
    </row>
    <row r="88" spans="1:11" x14ac:dyDescent="0.25">
      <c r="A88">
        <v>186</v>
      </c>
      <c r="B88" t="s">
        <v>219</v>
      </c>
      <c r="C88" t="s">
        <v>220</v>
      </c>
      <c r="D88" s="4">
        <v>45936</v>
      </c>
      <c r="E88" t="s">
        <v>136</v>
      </c>
      <c r="F88" t="s">
        <v>20</v>
      </c>
      <c r="G88">
        <v>1</v>
      </c>
      <c r="H88">
        <v>365.34</v>
      </c>
      <c r="I88" t="s">
        <v>41</v>
      </c>
      <c r="J88" t="s">
        <v>28</v>
      </c>
      <c r="K88">
        <v>365.34</v>
      </c>
    </row>
    <row r="89" spans="1:11" x14ac:dyDescent="0.25">
      <c r="A89">
        <v>187</v>
      </c>
      <c r="B89" t="s">
        <v>221</v>
      </c>
      <c r="C89" t="s">
        <v>222</v>
      </c>
      <c r="D89" s="4">
        <v>45615</v>
      </c>
      <c r="E89" t="s">
        <v>19</v>
      </c>
      <c r="F89" t="s">
        <v>20</v>
      </c>
      <c r="G89">
        <v>3</v>
      </c>
      <c r="H89">
        <v>882.96</v>
      </c>
      <c r="I89" t="s">
        <v>41</v>
      </c>
      <c r="J89" t="s">
        <v>44</v>
      </c>
      <c r="K89">
        <v>2648.88</v>
      </c>
    </row>
    <row r="90" spans="1:11" x14ac:dyDescent="0.25">
      <c r="A90">
        <v>188</v>
      </c>
      <c r="B90" t="s">
        <v>223</v>
      </c>
      <c r="C90" t="s">
        <v>224</v>
      </c>
      <c r="D90" s="4">
        <v>45615</v>
      </c>
      <c r="E90" t="s">
        <v>69</v>
      </c>
      <c r="F90" t="s">
        <v>14</v>
      </c>
      <c r="G90">
        <v>5</v>
      </c>
      <c r="H90">
        <v>504.05</v>
      </c>
      <c r="I90" t="s">
        <v>15</v>
      </c>
      <c r="J90" t="s">
        <v>16</v>
      </c>
      <c r="K90">
        <v>2520.25</v>
      </c>
    </row>
    <row r="91" spans="1:11" x14ac:dyDescent="0.25">
      <c r="A91">
        <v>189</v>
      </c>
      <c r="B91" t="s">
        <v>225</v>
      </c>
      <c r="C91" t="s">
        <v>226</v>
      </c>
      <c r="D91" s="4">
        <v>45883</v>
      </c>
      <c r="E91" t="s">
        <v>97</v>
      </c>
      <c r="F91" t="s">
        <v>14</v>
      </c>
      <c r="G91">
        <v>1</v>
      </c>
      <c r="H91">
        <v>814.68</v>
      </c>
      <c r="I91" t="s">
        <v>15</v>
      </c>
      <c r="J91" t="s">
        <v>44</v>
      </c>
      <c r="K91">
        <v>814.68</v>
      </c>
    </row>
    <row r="92" spans="1:11" x14ac:dyDescent="0.25">
      <c r="A92">
        <v>190</v>
      </c>
      <c r="B92" t="s">
        <v>227</v>
      </c>
      <c r="C92" t="s">
        <v>228</v>
      </c>
      <c r="D92" s="4">
        <v>45837</v>
      </c>
      <c r="E92" t="s">
        <v>86</v>
      </c>
      <c r="F92" t="s">
        <v>14</v>
      </c>
      <c r="G92">
        <v>1</v>
      </c>
      <c r="H92">
        <v>920.37</v>
      </c>
      <c r="I92" t="s">
        <v>41</v>
      </c>
      <c r="J92" t="s">
        <v>23</v>
      </c>
      <c r="K92">
        <v>920.37</v>
      </c>
    </row>
    <row r="93" spans="1:11" x14ac:dyDescent="0.25">
      <c r="A93">
        <v>191</v>
      </c>
      <c r="B93" t="s">
        <v>229</v>
      </c>
      <c r="C93" t="s">
        <v>230</v>
      </c>
      <c r="D93" s="4">
        <v>45856</v>
      </c>
      <c r="E93" t="s">
        <v>62</v>
      </c>
      <c r="F93" t="s">
        <v>32</v>
      </c>
      <c r="G93">
        <v>2</v>
      </c>
      <c r="H93">
        <v>881.02</v>
      </c>
      <c r="I93" t="s">
        <v>15</v>
      </c>
      <c r="J93" t="s">
        <v>44</v>
      </c>
      <c r="K93">
        <v>1762.04</v>
      </c>
    </row>
    <row r="94" spans="1:11" x14ac:dyDescent="0.25">
      <c r="A94">
        <v>192</v>
      </c>
      <c r="B94" t="s">
        <v>231</v>
      </c>
      <c r="C94" t="s">
        <v>232</v>
      </c>
      <c r="D94" t="s">
        <v>258</v>
      </c>
      <c r="E94" t="s">
        <v>141</v>
      </c>
      <c r="F94" t="s">
        <v>59</v>
      </c>
      <c r="G94" t="s">
        <v>259</v>
      </c>
      <c r="H94">
        <v>203.63</v>
      </c>
      <c r="I94" t="s">
        <v>49</v>
      </c>
      <c r="J94" t="s">
        <v>44</v>
      </c>
    </row>
    <row r="95" spans="1:11" x14ac:dyDescent="0.25">
      <c r="A95">
        <v>193</v>
      </c>
      <c r="B95" t="s">
        <v>233</v>
      </c>
      <c r="C95" t="s">
        <v>234</v>
      </c>
      <c r="D95" s="4">
        <v>45814</v>
      </c>
      <c r="E95" t="s">
        <v>52</v>
      </c>
      <c r="H95">
        <v>522.02</v>
      </c>
      <c r="I95" t="s">
        <v>22</v>
      </c>
      <c r="J95" t="s">
        <v>16</v>
      </c>
    </row>
    <row r="96" spans="1:11" x14ac:dyDescent="0.25">
      <c r="A96">
        <v>194</v>
      </c>
      <c r="B96" t="s">
        <v>235</v>
      </c>
      <c r="C96" t="s">
        <v>236</v>
      </c>
      <c r="D96" s="4">
        <v>45698</v>
      </c>
      <c r="E96" t="s">
        <v>97</v>
      </c>
      <c r="F96" t="s">
        <v>14</v>
      </c>
      <c r="G96">
        <v>5</v>
      </c>
      <c r="H96">
        <v>944.54</v>
      </c>
      <c r="I96" t="s">
        <v>15</v>
      </c>
      <c r="J96" t="s">
        <v>44</v>
      </c>
      <c r="K96">
        <v>4722.7</v>
      </c>
    </row>
    <row r="97" spans="1:11" x14ac:dyDescent="0.25">
      <c r="A97">
        <v>195</v>
      </c>
      <c r="B97" t="s">
        <v>237</v>
      </c>
      <c r="C97" t="s">
        <v>238</v>
      </c>
      <c r="D97" s="4">
        <v>45827</v>
      </c>
      <c r="E97" t="s">
        <v>35</v>
      </c>
      <c r="F97" t="s">
        <v>32</v>
      </c>
      <c r="G97">
        <v>5</v>
      </c>
      <c r="H97">
        <v>817.46</v>
      </c>
      <c r="I97" t="s">
        <v>15</v>
      </c>
      <c r="J97" t="s">
        <v>44</v>
      </c>
      <c r="K97">
        <v>4087.3</v>
      </c>
    </row>
    <row r="98" spans="1:11" x14ac:dyDescent="0.25">
      <c r="A98">
        <v>196</v>
      </c>
      <c r="B98" t="s">
        <v>239</v>
      </c>
      <c r="C98" t="s">
        <v>240</v>
      </c>
      <c r="D98" s="4">
        <v>45649</v>
      </c>
      <c r="E98" t="s">
        <v>86</v>
      </c>
      <c r="F98" t="s">
        <v>14</v>
      </c>
      <c r="H98" t="s">
        <v>247</v>
      </c>
      <c r="I98" t="s">
        <v>22</v>
      </c>
      <c r="J98" t="s">
        <v>28</v>
      </c>
    </row>
    <row r="99" spans="1:11" x14ac:dyDescent="0.25">
      <c r="A99">
        <v>197</v>
      </c>
      <c r="B99" t="s">
        <v>241</v>
      </c>
      <c r="C99" t="s">
        <v>242</v>
      </c>
      <c r="D99" s="4">
        <v>45831</v>
      </c>
      <c r="E99" t="s">
        <v>13</v>
      </c>
      <c r="F99" t="s">
        <v>14</v>
      </c>
      <c r="G99">
        <v>1</v>
      </c>
      <c r="H99">
        <v>160.16</v>
      </c>
      <c r="I99" t="s">
        <v>22</v>
      </c>
      <c r="J99" t="s">
        <v>38</v>
      </c>
      <c r="K99">
        <v>160.16</v>
      </c>
    </row>
    <row r="100" spans="1:11" x14ac:dyDescent="0.25">
      <c r="A100">
        <v>198</v>
      </c>
      <c r="B100" t="s">
        <v>243</v>
      </c>
      <c r="C100" t="s">
        <v>244</v>
      </c>
      <c r="D100" s="4">
        <v>45865</v>
      </c>
      <c r="E100" t="s">
        <v>86</v>
      </c>
      <c r="G100">
        <v>2</v>
      </c>
      <c r="H100">
        <v>497.01</v>
      </c>
      <c r="I100" t="s">
        <v>15</v>
      </c>
      <c r="J100" t="s">
        <v>16</v>
      </c>
      <c r="K100">
        <v>994.02</v>
      </c>
    </row>
    <row r="101" spans="1:11" x14ac:dyDescent="0.25">
      <c r="A101">
        <v>199</v>
      </c>
      <c r="B101" t="s">
        <v>245</v>
      </c>
      <c r="C101" t="s">
        <v>246</v>
      </c>
      <c r="D101" s="4">
        <v>45679</v>
      </c>
      <c r="E101" t="s">
        <v>13</v>
      </c>
      <c r="F101" t="s">
        <v>14</v>
      </c>
      <c r="G101">
        <v>5</v>
      </c>
      <c r="H101">
        <v>372.28</v>
      </c>
      <c r="I101" t="s">
        <v>49</v>
      </c>
      <c r="J101" t="s">
        <v>16</v>
      </c>
      <c r="K101">
        <v>1861.4</v>
      </c>
    </row>
    <row r="102" spans="1:11" x14ac:dyDescent="0.25">
      <c r="A102">
        <v>175</v>
      </c>
      <c r="B102" t="s">
        <v>197</v>
      </c>
      <c r="C102" t="s">
        <v>198</v>
      </c>
      <c r="D102" s="4">
        <v>45712</v>
      </c>
      <c r="E102" t="s">
        <v>116</v>
      </c>
      <c r="F102" t="s">
        <v>20</v>
      </c>
      <c r="G102">
        <v>1</v>
      </c>
      <c r="H102">
        <v>111.36</v>
      </c>
      <c r="I102" t="s">
        <v>49</v>
      </c>
      <c r="J102" t="s">
        <v>23</v>
      </c>
      <c r="K102">
        <v>77.951999999999998</v>
      </c>
    </row>
    <row r="103" spans="1:11" x14ac:dyDescent="0.25">
      <c r="A103">
        <v>142</v>
      </c>
      <c r="B103" t="s">
        <v>127</v>
      </c>
      <c r="C103" t="s">
        <v>128</v>
      </c>
      <c r="D103" s="4">
        <v>45960</v>
      </c>
      <c r="E103" t="s">
        <v>58</v>
      </c>
      <c r="F103" t="s">
        <v>59</v>
      </c>
      <c r="G103">
        <v>5</v>
      </c>
      <c r="H103">
        <v>645.26</v>
      </c>
      <c r="I103" t="s">
        <v>49</v>
      </c>
      <c r="J103" t="s">
        <v>16</v>
      </c>
      <c r="K103">
        <v>3226.3</v>
      </c>
    </row>
    <row r="104" spans="1:11" x14ac:dyDescent="0.25">
      <c r="A104">
        <v>146</v>
      </c>
      <c r="B104" t="s">
        <v>137</v>
      </c>
      <c r="C104" t="s">
        <v>138</v>
      </c>
      <c r="D104" s="4">
        <v>45847</v>
      </c>
      <c r="E104" t="s">
        <v>52</v>
      </c>
      <c r="F104" t="s">
        <v>251</v>
      </c>
      <c r="G104">
        <v>2</v>
      </c>
      <c r="H104">
        <v>705.42</v>
      </c>
      <c r="I104" t="s">
        <v>41</v>
      </c>
      <c r="J104" t="s">
        <v>23</v>
      </c>
      <c r="K104">
        <v>1410.84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Messy_data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2026-05-25T09:35:24Z</dcterms:created>
  <dcterms:modified xsi:type="dcterms:W3CDTF">2026-05-25T10:21:33Z</dcterms:modified>
</cp:coreProperties>
</file>